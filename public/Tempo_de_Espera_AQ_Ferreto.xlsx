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Joao Paulo\Downloads\"/>
    </mc:Choice>
  </mc:AlternateContent>
  <xr:revisionPtr revIDLastSave="0" documentId="13_ncr:1_{5B20C015-957A-4ABD-8921-6D6E9804C5C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Tempo de Espera" sheetId="1" r:id="rId1"/>
    <sheet name="Tempo de Espera - Trechos" sheetId="6" r:id="rId2"/>
    <sheet name="DN CPVC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6" l="1"/>
  <c r="H11" i="6" s="1"/>
  <c r="H14" i="6" s="1"/>
  <c r="F8" i="6"/>
  <c r="F12" i="6" s="1"/>
  <c r="F13" i="6" s="1"/>
  <c r="C8" i="6"/>
  <c r="C12" i="6" s="1"/>
  <c r="C13" i="6" s="1"/>
  <c r="H6" i="6"/>
  <c r="F6" i="6"/>
  <c r="C6" i="6"/>
  <c r="H12" i="6" l="1"/>
  <c r="H13" i="6" s="1"/>
  <c r="B17" i="6" s="1"/>
  <c r="C11" i="6"/>
  <c r="C14" i="6" s="1"/>
  <c r="F11" i="6"/>
  <c r="F14" i="6" s="1"/>
  <c r="C8" i="1"/>
  <c r="B13" i="2"/>
  <c r="B12" i="2"/>
  <c r="B11" i="2"/>
  <c r="B10" i="2"/>
  <c r="B9" i="2"/>
  <c r="B8" i="2"/>
  <c r="B7" i="2"/>
  <c r="B6" i="2"/>
  <c r="B5" i="2"/>
  <c r="C6" i="1"/>
  <c r="C11" i="1" l="1"/>
  <c r="C12" i="1"/>
  <c r="C13" i="1" l="1"/>
  <c r="B17" i="1" s="1"/>
  <c r="C14" i="1"/>
</calcChain>
</file>

<file path=xl/sharedStrings.xml><?xml version="1.0" encoding="utf-8"?>
<sst xmlns="http://schemas.openxmlformats.org/spreadsheetml/2006/main" count="51" uniqueCount="17">
  <si>
    <t>Vazão</t>
  </si>
  <si>
    <t>Pontos simultâneo</t>
  </si>
  <si>
    <t>Velocidade</t>
  </si>
  <si>
    <t>Vazão total</t>
  </si>
  <si>
    <t>Diâmetro CPVC</t>
  </si>
  <si>
    <t>Diâmetro interno CPVC</t>
  </si>
  <si>
    <t>Distância</t>
  </si>
  <si>
    <t>Área</t>
  </si>
  <si>
    <t>Tempo</t>
  </si>
  <si>
    <t>Volume</t>
  </si>
  <si>
    <t>Diâmetro Comercial</t>
  </si>
  <si>
    <t>Diâmetro interno</t>
  </si>
  <si>
    <t>Tempo de Espera</t>
  </si>
  <si>
    <t>Trecho 01</t>
  </si>
  <si>
    <t>Trecho 02</t>
  </si>
  <si>
    <t>Tempo total</t>
  </si>
  <si>
    <t>Trecho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</si>
</sst>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General&quot; L/min&quot;"/>
    <numFmt numFmtId="165" formatCode="General&quot; mm&quot;"/>
    <numFmt numFmtId="166" formatCode="General&quot; metros&quot;"/>
    <numFmt numFmtId="167" formatCode="0.000000"/>
    <numFmt numFmtId="168" formatCode="0.00&quot; m/s&quot;"/>
    <numFmt numFmtId="169" formatCode="0.00&quot; min&quot;"/>
    <numFmt numFmtId="170" formatCode="0.0&quot; litros&quot;"/>
    <numFmt numFmtId="171" formatCode="[$-F400]h:mm:ss\ AM/PM"/>
  </numFmts>
  <fonts count="11" x14ac:knownFonts="1">
    <font>
      <sz val="11"/>
      <color theme="1"/>
      <name val="Aptos Narrow"/>
      <family val="2"/>
      <charset val="1"/>
    </font>
    <font>
      <b/>
      <sz val="13"/>
      <color theme="0"/>
      <name val="Roboto"/>
    </font>
    <font>
      <b/>
      <sz val="11"/>
      <color rgb="FFFFC000"/>
      <name val="Roboto"/>
    </font>
    <font>
      <b/>
      <sz val="10"/>
      <color rgb="FFFFC000"/>
      <name val="Roboto"/>
    </font>
    <font>
      <sz val="11"/>
      <color theme="0" tint="-0.499984740745262"/>
      <name val="Roboto"/>
    </font>
    <font>
      <b/>
      <sz val="11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5"/>
      <color theme="0"/>
      <name val="Aptos Narrow"/>
      <family val="2"/>
    </font>
    <font>
      <b/>
      <sz val="15"/>
      <color theme="1"/>
      <name val="Aptos Narrow"/>
      <family val="2"/>
    </font>
    <font>
      <b/>
      <sz val="11"/>
      <color theme="2"/>
      <name val="Aptos Narrow"/>
      <family val="2"/>
      <charset val="1"/>
    </font>
    <font>
      <sz val="11"/>
      <color theme="2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DDDDDD"/>
      </patternFill>
    </fill>
    <fill>
      <patternFill patternType="solid">
        <fgColor rgb="FFFFFF99"/>
        <bgColor rgb="FFDDDDDD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9" fontId="0" fillId="0" borderId="0" xfId="0" applyNumberFormat="1"/>
    <xf numFmtId="0" fontId="3" fillId="2" borderId="2" xfId="0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171" fontId="0" fillId="0" borderId="0" xfId="0" applyNumberFormat="1"/>
    <xf numFmtId="164" fontId="6" fillId="4" borderId="0" xfId="0" applyNumberFormat="1" applyFont="1" applyFill="1"/>
    <xf numFmtId="165" fontId="6" fillId="4" borderId="0" xfId="0" applyNumberFormat="1" applyFont="1" applyFill="1"/>
    <xf numFmtId="167" fontId="6" fillId="4" borderId="0" xfId="0" applyNumberFormat="1" applyFont="1" applyFill="1"/>
    <xf numFmtId="168" fontId="6" fillId="4" borderId="0" xfId="0" applyNumberFormat="1" applyFont="1" applyFill="1"/>
    <xf numFmtId="170" fontId="6" fillId="4" borderId="0" xfId="0" applyNumberFormat="1" applyFont="1" applyFill="1"/>
    <xf numFmtId="171" fontId="0" fillId="5" borderId="0" xfId="0" applyNumberFormat="1" applyFill="1"/>
    <xf numFmtId="0" fontId="10" fillId="3" borderId="0" xfId="0" applyFont="1" applyFill="1"/>
    <xf numFmtId="0" fontId="7" fillId="3" borderId="0" xfId="0" applyFont="1" applyFill="1" applyAlignment="1">
      <alignment horizontal="center"/>
    </xf>
    <xf numFmtId="171" fontId="8" fillId="6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zoomScale="135" zoomScaleNormal="135" workbookViewId="0">
      <selection activeCell="E12" sqref="E12"/>
    </sheetView>
  </sheetViews>
  <sheetFormatPr defaultColWidth="8.77734375" defaultRowHeight="14.4" x14ac:dyDescent="0.3"/>
  <cols>
    <col min="1" max="1" width="3" customWidth="1"/>
    <col min="2" max="2" width="20.21875" customWidth="1"/>
    <col min="3" max="3" width="14.21875" customWidth="1"/>
  </cols>
  <sheetData>
    <row r="2" spans="2:3" x14ac:dyDescent="0.3">
      <c r="B2" s="21" t="s">
        <v>12</v>
      </c>
      <c r="C2" s="21"/>
    </row>
    <row r="3" spans="2:3" x14ac:dyDescent="0.3">
      <c r="B3" s="20" t="s">
        <v>13</v>
      </c>
      <c r="C3" s="20"/>
    </row>
    <row r="4" spans="2:3" x14ac:dyDescent="0.3">
      <c r="B4" t="s">
        <v>0</v>
      </c>
      <c r="C4" s="1">
        <v>3.42</v>
      </c>
    </row>
    <row r="5" spans="2:3" x14ac:dyDescent="0.3">
      <c r="B5" t="s">
        <v>1</v>
      </c>
      <c r="C5">
        <v>1</v>
      </c>
    </row>
    <row r="6" spans="2:3" x14ac:dyDescent="0.3">
      <c r="B6" t="s">
        <v>3</v>
      </c>
      <c r="C6" s="10">
        <f>C4*C5</f>
        <v>3.42</v>
      </c>
    </row>
    <row r="7" spans="2:3" x14ac:dyDescent="0.3">
      <c r="B7" t="s">
        <v>4</v>
      </c>
      <c r="C7" s="2">
        <v>22</v>
      </c>
    </row>
    <row r="8" spans="2:3" x14ac:dyDescent="0.3">
      <c r="B8" t="s">
        <v>5</v>
      </c>
      <c r="C8" s="11">
        <f>INDEX('DN CPVC'!$B$5:$B$13,MATCH(C7,'DN CPVC'!$A$5:$A$13,2))</f>
        <v>17.600000000000001</v>
      </c>
    </row>
    <row r="10" spans="2:3" x14ac:dyDescent="0.3">
      <c r="B10" t="s">
        <v>6</v>
      </c>
      <c r="C10" s="3">
        <v>15.52</v>
      </c>
    </row>
    <row r="11" spans="2:3" x14ac:dyDescent="0.3">
      <c r="B11" t="s">
        <v>7</v>
      </c>
      <c r="C11" s="12">
        <f>((C8/1000)^2*3.14)/4</f>
        <v>2.4316160000000003E-4</v>
      </c>
    </row>
    <row r="12" spans="2:3" x14ac:dyDescent="0.3">
      <c r="B12" t="s">
        <v>2</v>
      </c>
      <c r="C12" s="13">
        <f>(4*(C4/60)/1000)/(3.14*(C8/1000)^2)</f>
        <v>0.23441201242301415</v>
      </c>
    </row>
    <row r="13" spans="2:3" x14ac:dyDescent="0.3">
      <c r="B13" t="s">
        <v>8</v>
      </c>
      <c r="C13" s="15">
        <f>(((C10/C12)/60)/60)*(1/24)</f>
        <v>7.6629873944119534E-4</v>
      </c>
    </row>
    <row r="14" spans="2:3" x14ac:dyDescent="0.3">
      <c r="B14" t="s">
        <v>9</v>
      </c>
      <c r="C14" s="14">
        <f>(C11*C10)*1000</f>
        <v>3.7738680320000002</v>
      </c>
    </row>
    <row r="16" spans="2:3" ht="19.8" x14ac:dyDescent="0.4">
      <c r="B16" s="17" t="s">
        <v>15</v>
      </c>
      <c r="C16" s="17"/>
    </row>
    <row r="17" spans="2:3" ht="19.8" x14ac:dyDescent="0.4">
      <c r="B17" s="18">
        <f>C13</f>
        <v>7.6629873944119534E-4</v>
      </c>
      <c r="C17" s="19"/>
    </row>
  </sheetData>
  <mergeCells count="4">
    <mergeCell ref="B16:C16"/>
    <mergeCell ref="B17:C17"/>
    <mergeCell ref="B3:C3"/>
    <mergeCell ref="B2:C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9EF6-2A6D-4410-A086-C249768A0EDF}">
  <dimension ref="B2:H17"/>
  <sheetViews>
    <sheetView showGridLines="0" tabSelected="1" zoomScale="115" zoomScaleNormal="115" workbookViewId="0">
      <selection activeCell="C4" sqref="C4"/>
    </sheetView>
  </sheetViews>
  <sheetFormatPr defaultColWidth="8.77734375" defaultRowHeight="14.4" x14ac:dyDescent="0.3"/>
  <cols>
    <col min="1" max="1" width="3" customWidth="1"/>
    <col min="2" max="2" width="20.21875" customWidth="1"/>
    <col min="3" max="3" width="14.21875" customWidth="1"/>
    <col min="4" max="4" width="2.21875" customWidth="1"/>
    <col min="5" max="5" width="21.44140625" customWidth="1"/>
    <col min="6" max="6" width="14.33203125" customWidth="1"/>
    <col min="7" max="7" width="23.33203125" customWidth="1"/>
    <col min="8" max="8" width="15" customWidth="1"/>
  </cols>
  <sheetData>
    <row r="2" spans="2:8" x14ac:dyDescent="0.3">
      <c r="B2" s="21" t="s">
        <v>12</v>
      </c>
      <c r="C2" s="21"/>
      <c r="D2" s="21"/>
      <c r="E2" s="21"/>
      <c r="F2" s="21"/>
      <c r="G2" s="21"/>
      <c r="H2" s="21"/>
    </row>
    <row r="3" spans="2:8" x14ac:dyDescent="0.3">
      <c r="B3" s="20" t="s">
        <v>13</v>
      </c>
      <c r="C3" s="20"/>
      <c r="D3" s="16"/>
      <c r="E3" s="20" t="s">
        <v>14</v>
      </c>
      <c r="F3" s="20"/>
      <c r="G3" s="20" t="s">
        <v>16</v>
      </c>
      <c r="H3" s="20"/>
    </row>
    <row r="4" spans="2:8" x14ac:dyDescent="0.3">
      <c r="B4" t="s">
        <v>0</v>
      </c>
      <c r="C4" s="1">
        <v>12</v>
      </c>
      <c r="E4" t="s">
        <v>0</v>
      </c>
      <c r="F4" s="1">
        <v>12</v>
      </c>
      <c r="G4" t="s">
        <v>0</v>
      </c>
      <c r="H4" s="1">
        <v>12</v>
      </c>
    </row>
    <row r="5" spans="2:8" x14ac:dyDescent="0.3">
      <c r="B5" t="s">
        <v>1</v>
      </c>
      <c r="C5">
        <v>1</v>
      </c>
      <c r="E5" t="s">
        <v>1</v>
      </c>
      <c r="F5">
        <v>1</v>
      </c>
      <c r="G5" t="s">
        <v>1</v>
      </c>
      <c r="H5">
        <v>1</v>
      </c>
    </row>
    <row r="6" spans="2:8" x14ac:dyDescent="0.3">
      <c r="B6" t="s">
        <v>3</v>
      </c>
      <c r="C6" s="10">
        <f>C4*C5</f>
        <v>12</v>
      </c>
      <c r="E6" t="s">
        <v>3</v>
      </c>
      <c r="F6" s="10">
        <f>F4*F5</f>
        <v>12</v>
      </c>
      <c r="G6" t="s">
        <v>3</v>
      </c>
      <c r="H6" s="10">
        <f>H4*H5</f>
        <v>12</v>
      </c>
    </row>
    <row r="7" spans="2:8" x14ac:dyDescent="0.3">
      <c r="B7" t="s">
        <v>4</v>
      </c>
      <c r="C7" s="2">
        <v>42</v>
      </c>
      <c r="E7" t="s">
        <v>4</v>
      </c>
      <c r="F7" s="2">
        <v>35</v>
      </c>
      <c r="G7" t="s">
        <v>4</v>
      </c>
      <c r="H7" s="2">
        <v>22</v>
      </c>
    </row>
    <row r="8" spans="2:8" x14ac:dyDescent="0.3">
      <c r="B8" t="s">
        <v>5</v>
      </c>
      <c r="C8" s="11">
        <f>INDEX('DN CPVC'!$B$5:$B$13,MATCH(C7,'DN CPVC'!$A$5:$A$13,2))</f>
        <v>34.400000000000006</v>
      </c>
      <c r="E8" t="s">
        <v>5</v>
      </c>
      <c r="F8" s="11">
        <f>INDEX('DN CPVC'!$B$5:$B$13,MATCH(F7,'DN CPVC'!$A$5:$A$13,2))</f>
        <v>28.6</v>
      </c>
      <c r="G8" t="s">
        <v>5</v>
      </c>
      <c r="H8" s="11">
        <f>INDEX('DN CPVC'!$B$5:$B$13,MATCH(H7,'DN CPVC'!$A$5:$A$13,2))</f>
        <v>17.600000000000001</v>
      </c>
    </row>
    <row r="10" spans="2:8" x14ac:dyDescent="0.3">
      <c r="B10" t="s">
        <v>6</v>
      </c>
      <c r="C10" s="3">
        <v>2</v>
      </c>
      <c r="E10" t="s">
        <v>6</v>
      </c>
      <c r="F10" s="3">
        <v>1</v>
      </c>
      <c r="G10" t="s">
        <v>6</v>
      </c>
      <c r="H10" s="3">
        <v>15</v>
      </c>
    </row>
    <row r="11" spans="2:8" x14ac:dyDescent="0.3">
      <c r="B11" t="s">
        <v>7</v>
      </c>
      <c r="C11" s="12">
        <f>((C8/1000)^2*3.14)/4</f>
        <v>9.2893760000000044E-4</v>
      </c>
      <c r="E11" t="s">
        <v>7</v>
      </c>
      <c r="F11" s="12">
        <f>((F8/1000)^2*3.14)/4</f>
        <v>6.4209860000000011E-4</v>
      </c>
      <c r="G11" t="s">
        <v>7</v>
      </c>
      <c r="H11" s="12">
        <f>((H8/1000)^2*3.14)/4</f>
        <v>2.4316160000000003E-4</v>
      </c>
    </row>
    <row r="12" spans="2:8" x14ac:dyDescent="0.3">
      <c r="B12" t="s">
        <v>2</v>
      </c>
      <c r="C12" s="13">
        <f>(4*(C4/60)/1000)/(3.14*(C8/1000)^2)</f>
        <v>0.2152997144264587</v>
      </c>
      <c r="D12" s="4"/>
      <c r="E12" t="s">
        <v>2</v>
      </c>
      <c r="F12" s="13">
        <f>(4*(F4/60)/1000)/(3.14*(F8/1000)^2)</f>
        <v>0.31147864206525289</v>
      </c>
      <c r="G12" t="s">
        <v>2</v>
      </c>
      <c r="H12" s="13">
        <f>(4*(H4/60)/1000)/(3.14*(H8/1000)^2)</f>
        <v>0.82249828920355839</v>
      </c>
    </row>
    <row r="13" spans="2:8" x14ac:dyDescent="0.3">
      <c r="B13" t="s">
        <v>8</v>
      </c>
      <c r="C13" s="15">
        <f>(((C10/C12)/60)/60)*(1/24)</f>
        <v>1.0751592592592598E-4</v>
      </c>
      <c r="D13" s="9"/>
      <c r="E13" t="s">
        <v>8</v>
      </c>
      <c r="F13" s="15">
        <f>(((F10/F12)/60)/60)*(1/24)</f>
        <v>3.7158483796296297E-5</v>
      </c>
      <c r="G13" t="s">
        <v>8</v>
      </c>
      <c r="H13" s="15">
        <f>(((H10/H12)/60)/60)*(1/24)</f>
        <v>2.1107777777777778E-4</v>
      </c>
    </row>
    <row r="14" spans="2:8" x14ac:dyDescent="0.3">
      <c r="B14" t="s">
        <v>9</v>
      </c>
      <c r="C14" s="14">
        <f>(C11*C10)*1000</f>
        <v>1.8578752000000009</v>
      </c>
      <c r="E14" t="s">
        <v>9</v>
      </c>
      <c r="F14" s="14">
        <f>(F11*F10)*1000</f>
        <v>0.64209860000000007</v>
      </c>
      <c r="G14" t="s">
        <v>9</v>
      </c>
      <c r="H14" s="14">
        <f>(H11*H10)*1000</f>
        <v>3.6474240000000004</v>
      </c>
    </row>
    <row r="16" spans="2:8" ht="19.8" x14ac:dyDescent="0.4">
      <c r="B16" s="17" t="s">
        <v>15</v>
      </c>
      <c r="C16" s="17"/>
      <c r="D16" s="17"/>
      <c r="E16" s="17"/>
      <c r="F16" s="17"/>
      <c r="G16" s="17"/>
      <c r="H16" s="17"/>
    </row>
    <row r="17" spans="2:8" ht="19.8" x14ac:dyDescent="0.4">
      <c r="B17" s="18">
        <f>C13+F13+H13</f>
        <v>3.557521875000001E-4</v>
      </c>
      <c r="C17" s="19"/>
      <c r="D17" s="19"/>
      <c r="E17" s="19"/>
      <c r="F17" s="19"/>
      <c r="G17" s="19"/>
      <c r="H17" s="19"/>
    </row>
  </sheetData>
  <mergeCells count="6">
    <mergeCell ref="B17:H17"/>
    <mergeCell ref="B2:H2"/>
    <mergeCell ref="B3:C3"/>
    <mergeCell ref="E3:F3"/>
    <mergeCell ref="G3:H3"/>
    <mergeCell ref="B16:H1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="160" zoomScaleNormal="160" workbookViewId="0">
      <selection activeCell="D13" sqref="D13"/>
    </sheetView>
  </sheetViews>
  <sheetFormatPr defaultColWidth="8.77734375" defaultRowHeight="14.4" x14ac:dyDescent="0.3"/>
  <cols>
    <col min="1" max="1" width="19.44140625" customWidth="1"/>
    <col min="2" max="2" width="20.6640625" customWidth="1"/>
  </cols>
  <sheetData>
    <row r="1" spans="1:2" ht="19.350000000000001" customHeight="1" x14ac:dyDescent="0.3">
      <c r="A1" s="22" t="s">
        <v>5</v>
      </c>
      <c r="B1" s="22"/>
    </row>
    <row r="2" spans="1:2" ht="14.25" customHeight="1" x14ac:dyDescent="0.3">
      <c r="A2" s="23" t="s">
        <v>10</v>
      </c>
      <c r="B2" s="24" t="s">
        <v>11</v>
      </c>
    </row>
    <row r="3" spans="1:2" x14ac:dyDescent="0.3">
      <c r="A3" s="23"/>
      <c r="B3" s="24"/>
    </row>
    <row r="4" spans="1:2" x14ac:dyDescent="0.3">
      <c r="A4" s="23"/>
      <c r="B4" s="24"/>
    </row>
    <row r="5" spans="1:2" x14ac:dyDescent="0.3">
      <c r="A5" s="5">
        <v>15</v>
      </c>
      <c r="B5" s="6">
        <f>A5-1.6-1.6</f>
        <v>11.8</v>
      </c>
    </row>
    <row r="6" spans="1:2" x14ac:dyDescent="0.3">
      <c r="A6" s="5">
        <v>22</v>
      </c>
      <c r="B6" s="6">
        <f>A6-2.2-2.2</f>
        <v>17.600000000000001</v>
      </c>
    </row>
    <row r="7" spans="1:2" x14ac:dyDescent="0.3">
      <c r="A7" s="5">
        <v>28</v>
      </c>
      <c r="B7" s="6">
        <f>A7-2.7-2.7</f>
        <v>22.6</v>
      </c>
    </row>
    <row r="8" spans="1:2" x14ac:dyDescent="0.3">
      <c r="A8" s="5">
        <v>35</v>
      </c>
      <c r="B8" s="6">
        <f>A8-3.2-3.2</f>
        <v>28.6</v>
      </c>
    </row>
    <row r="9" spans="1:2" x14ac:dyDescent="0.3">
      <c r="A9" s="5">
        <v>42</v>
      </c>
      <c r="B9" s="6">
        <f>A9-3.8-3.8</f>
        <v>34.400000000000006</v>
      </c>
    </row>
    <row r="10" spans="1:2" x14ac:dyDescent="0.3">
      <c r="A10" s="5">
        <v>54</v>
      </c>
      <c r="B10" s="6">
        <f>A10-4.9-4.9</f>
        <v>44.2</v>
      </c>
    </row>
    <row r="11" spans="1:2" x14ac:dyDescent="0.3">
      <c r="A11" s="5">
        <v>73</v>
      </c>
      <c r="B11" s="6">
        <f>A11-6.9-6.9</f>
        <v>59.199999999999996</v>
      </c>
    </row>
    <row r="12" spans="1:2" x14ac:dyDescent="0.3">
      <c r="A12" s="5">
        <v>89</v>
      </c>
      <c r="B12" s="6">
        <f>A12-8.5-8.5</f>
        <v>72</v>
      </c>
    </row>
    <row r="13" spans="1:2" x14ac:dyDescent="0.3">
      <c r="A13" s="7">
        <v>114</v>
      </c>
      <c r="B13" s="8">
        <f>A13-10.4-10.4</f>
        <v>93.199999999999989</v>
      </c>
    </row>
  </sheetData>
  <mergeCells count="3">
    <mergeCell ref="A1:B1"/>
    <mergeCell ref="A2:A4"/>
    <mergeCell ref="B2:B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Tempo de Espera</vt:lpstr>
      <vt:lpstr>Tempo de Espera - Trechos</vt:lpstr>
      <vt:lpstr>DN CPVC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Gabriel Santos Pinto</dc:creator>
  <dc:description/>
  <cp:lastModifiedBy>Igor Gabriel</cp:lastModifiedBy>
  <cp:revision>6</cp:revision>
  <dcterms:created xsi:type="dcterms:W3CDTF">2024-03-01T01:20:41Z</dcterms:created>
  <dcterms:modified xsi:type="dcterms:W3CDTF">2026-07-10T05:47:47Z</dcterms:modified>
  <dc:language>pt-BR</dc:language>
</cp:coreProperties>
</file>