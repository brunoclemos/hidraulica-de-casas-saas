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Joao Paulo\Downloads\"/>
    </mc:Choice>
  </mc:AlternateContent>
  <xr:revisionPtr revIDLastSave="0" documentId="13_ncr:1_{5F427475-B6E7-4234-82C0-22B7AF8DEBF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alanço Vazão" sheetId="1" r:id="rId1"/>
    <sheet name="Tempo de Espera" sheetId="3" r:id="rId2"/>
    <sheet name="Dados e Cálculos" sheetId="2" r:id="rId3"/>
  </sheets>
  <externalReferences>
    <externalReference r:id="rId4"/>
  </externalReferences>
  <definedNames>
    <definedName name="CPVC_DN">'Dados e Cálculos'!$A$6:$A$13</definedName>
    <definedName name="PVC_DN">'Dados e Cálculos'!$E$6:$E$14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3" l="1"/>
  <c r="C12" i="3" s="1"/>
  <c r="C13" i="3" s="1"/>
  <c r="B17" i="3" s="1"/>
  <c r="C6" i="3"/>
  <c r="C11" i="3" l="1"/>
  <c r="C14" i="3" s="1"/>
  <c r="B30" i="2" l="1"/>
  <c r="B17" i="2"/>
  <c r="B31" i="2" s="1"/>
  <c r="C8" i="1"/>
  <c r="B8" i="1"/>
  <c r="B33" i="2" l="1"/>
  <c r="C34" i="2" s="1"/>
  <c r="D34" i="2" s="1"/>
  <c r="B34" i="2" s="1"/>
  <c r="C35" i="2" s="1"/>
  <c r="D35" i="2" s="1"/>
  <c r="B35" i="2" s="1"/>
  <c r="C36" i="2" s="1"/>
  <c r="D36" i="2" s="1"/>
  <c r="B36" i="2" s="1"/>
  <c r="C37" i="2" s="1"/>
  <c r="D37" i="2" s="1"/>
  <c r="B37" i="2" s="1"/>
  <c r="C38" i="2" s="1"/>
  <c r="D38" i="2" s="1"/>
  <c r="B38" i="2" s="1"/>
  <c r="B26" i="1" s="1"/>
  <c r="B27" i="1" s="1"/>
  <c r="C26" i="1"/>
  <c r="B21" i="2"/>
  <c r="D22" i="2" l="1"/>
  <c r="F22" i="2" s="1"/>
  <c r="C21" i="2"/>
  <c r="E22" i="2" s="1"/>
  <c r="G22" i="2" s="1"/>
  <c r="B22" i="2" l="1"/>
  <c r="C22" i="2" l="1"/>
  <c r="E23" i="2" s="1"/>
  <c r="G23" i="2" s="1"/>
  <c r="D23" i="2"/>
  <c r="F23" i="2" s="1"/>
  <c r="B23" i="2" s="1"/>
  <c r="D24" i="2" l="1"/>
  <c r="F24" i="2" s="1"/>
  <c r="C23" i="2"/>
  <c r="E24" i="2" s="1"/>
  <c r="G24" i="2" s="1"/>
  <c r="B24" i="2" l="1"/>
  <c r="C24" i="2" l="1"/>
  <c r="E25" i="2" s="1"/>
  <c r="G25" i="2" s="1"/>
  <c r="D25" i="2"/>
  <c r="F25" i="2" s="1"/>
  <c r="B25" i="2" s="1"/>
  <c r="C25" i="2" l="1"/>
  <c r="E26" i="2" s="1"/>
  <c r="G26" i="2" s="1"/>
  <c r="D26" i="2"/>
  <c r="F26" i="2" s="1"/>
  <c r="B26" i="2" l="1"/>
  <c r="B18" i="1" s="1"/>
  <c r="C26" i="2" l="1"/>
  <c r="C18" i="1" s="1"/>
  <c r="C19" i="1" s="1"/>
  <c r="B19" i="1"/>
  <c r="B21" i="1" l="1"/>
</calcChain>
</file>

<file path=xl/sharedStrings.xml><?xml version="1.0" encoding="utf-8"?>
<sst xmlns="http://schemas.openxmlformats.org/spreadsheetml/2006/main" count="89" uniqueCount="70">
  <si>
    <t>BALANÇO DE VAZÃO — RECIRCULAÇÃO (ANEL 1 x ANEL 2)</t>
  </si>
  <si>
    <t>Ferreto Engenharia</t>
  </si>
  <si>
    <t>DADOS DE ENTRADA</t>
  </si>
  <si>
    <t>Parâmetro</t>
  </si>
  <si>
    <t>Anel 1</t>
  </si>
  <si>
    <t>Anel 2</t>
  </si>
  <si>
    <t>Unidade</t>
  </si>
  <si>
    <t>Material</t>
  </si>
  <si>
    <t>CPVC</t>
  </si>
  <si>
    <t>-</t>
  </si>
  <si>
    <t>DN externo (escolha a bitola)</t>
  </si>
  <si>
    <t>mm  — selecione na lista</t>
  </si>
  <si>
    <t>DN interno (calculado automaticamente)</t>
  </si>
  <si>
    <t>mm — puxado da tabela de diâmetros</t>
  </si>
  <si>
    <t>Rugosidade absoluta</t>
  </si>
  <si>
    <t>mm</t>
  </si>
  <si>
    <t>Comprimento total (real + equivalente)</t>
  </si>
  <si>
    <t>m</t>
  </si>
  <si>
    <t>Comprimento real (só tubo, sem conexões)</t>
  </si>
  <si>
    <t>Temperatura da água</t>
  </si>
  <si>
    <t>°C</t>
  </si>
  <si>
    <t>Vazão total (a que chega no tronco)</t>
  </si>
  <si>
    <t>L/min</t>
  </si>
  <si>
    <t>RESULTADO</t>
  </si>
  <si>
    <t>Vazão em cada anel</t>
  </si>
  <si>
    <t>Tempo de recirculação</t>
  </si>
  <si>
    <t>min:seg</t>
  </si>
  <si>
    <t>Verificação: soma das vazões dos anéis (deve bater com a vazão total informada)</t>
  </si>
  <si>
    <t>PRECISA DE UM TEMPO MÁXIMO NO ANEL 2? Veja a vazão total necessária</t>
  </si>
  <si>
    <t>Tempo máximo desejado no Anel 2</t>
  </si>
  <si>
    <t>min</t>
  </si>
  <si>
    <t>Vazão necessária</t>
  </si>
  <si>
    <t>Vazão total necessária</t>
  </si>
  <si>
    <t>Ferreto Engenharia — os detalhes de cálculo (tabelas de diâmetro, viscosidade, iterações) estão na aba 'Dados e Cálculos'. Você não precisa mexer lá; ela atualiza sozinha.</t>
  </si>
  <si>
    <t>DADOS E CÁLCULOS (detalhe) — não precisa mexer aqui</t>
  </si>
  <si>
    <t>Tabelas de diâmetro comercial, viscosidade da água, e iterações de convergência do balanço.</t>
  </si>
  <si>
    <t>Diâmetro comercial CPVC</t>
  </si>
  <si>
    <t>Diâmetro comercial PVC</t>
  </si>
  <si>
    <t>Viscosidade da água</t>
  </si>
  <si>
    <t>DN externo (mm)</t>
  </si>
  <si>
    <t>DN interno (mm)</t>
  </si>
  <si>
    <t>T (°C)</t>
  </si>
  <si>
    <t>μ (Pa·s)</t>
  </si>
  <si>
    <t>Viscosidade da água na temperatura informada (consulta automática)</t>
  </si>
  <si>
    <t>MODO DIRETO — iteração de convergência (Q1, Q2)</t>
  </si>
  <si>
    <t>Rodada</t>
  </si>
  <si>
    <t>Q1 (L/min)</t>
  </si>
  <si>
    <t>Q2 (L/min)</t>
  </si>
  <si>
    <t>Re1</t>
  </si>
  <si>
    <t>Re2</t>
  </si>
  <si>
    <t>f1</t>
  </si>
  <si>
    <t>f2</t>
  </si>
  <si>
    <t>0 (estimativa)</t>
  </si>
  <si>
    <t>—</t>
  </si>
  <si>
    <t>MODO INVERSO — dado um tempo-alvo no Anel 2, achar Q necessária</t>
  </si>
  <si>
    <t>t_alvo do Anel 2 (puxado da aba principal)</t>
  </si>
  <si>
    <t>h_f alvo (perda de carga que os dois anéis terão)</t>
  </si>
  <si>
    <t>Tempo de Espera</t>
  </si>
  <si>
    <t>Trecho 01</t>
  </si>
  <si>
    <t>Vazão</t>
  </si>
  <si>
    <t>Pontos simultâneo</t>
  </si>
  <si>
    <t>Vazão total</t>
  </si>
  <si>
    <t>Diâmetro CPVC</t>
  </si>
  <si>
    <t>Diâmetro interno CPVC</t>
  </si>
  <si>
    <t>Distância</t>
  </si>
  <si>
    <t>Área</t>
  </si>
  <si>
    <t>Velocidade</t>
  </si>
  <si>
    <t>Tempo</t>
  </si>
  <si>
    <t>Volume</t>
  </si>
  <si>
    <t>Tempo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</si>
</sst>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"/>
    <numFmt numFmtId="165" formatCode="0.0"/>
    <numFmt numFmtId="166" formatCode="0.000000"/>
    <numFmt numFmtId="167" formatCode="0.000"/>
    <numFmt numFmtId="168" formatCode="General&quot; L/min&quot;"/>
    <numFmt numFmtId="169" formatCode="General&quot; mm&quot;"/>
    <numFmt numFmtId="170" formatCode="General&quot; metros&quot;"/>
    <numFmt numFmtId="171" formatCode="0.00&quot; m/s&quot;"/>
    <numFmt numFmtId="172" formatCode="[$-F400]h:mm:ss\ AM/PM"/>
    <numFmt numFmtId="173" formatCode="0.0&quot; litros&quot;"/>
  </numFmts>
  <fonts count="17" x14ac:knownFonts="1">
    <font>
      <sz val="11"/>
      <color theme="1"/>
      <name val="Calibri"/>
      <family val="2"/>
      <charset val="1"/>
    </font>
    <font>
      <b/>
      <sz val="16"/>
      <color rgb="FFE0DFD5"/>
      <name val="Roboto"/>
    </font>
    <font>
      <i/>
      <sz val="10"/>
      <color rgb="FFE0DFD5"/>
      <name val="Roboto"/>
    </font>
    <font>
      <b/>
      <sz val="12"/>
      <color rgb="FFFFFFFF"/>
      <name val="Roboto"/>
    </font>
    <font>
      <b/>
      <sz val="9"/>
      <color rgb="FFE0DFD5"/>
      <name val="Roboto"/>
    </font>
    <font>
      <b/>
      <sz val="11"/>
      <color rgb="FFE0DFD5"/>
      <name val="Roboto"/>
    </font>
    <font>
      <b/>
      <sz val="12"/>
      <color rgb="FF4C4A4A"/>
      <name val="Roboto"/>
    </font>
    <font>
      <i/>
      <sz val="9"/>
      <color rgb="FFE0DFD5"/>
      <name val="Roboto"/>
    </font>
    <font>
      <i/>
      <sz val="11"/>
      <color rgb="FFE0DFD5"/>
      <name val="Roboto"/>
    </font>
    <font>
      <b/>
      <sz val="14"/>
      <color rgb="FFFFFFFF"/>
      <name val="Roboto"/>
    </font>
    <font>
      <sz val="11"/>
      <color rgb="FFE0DFD5"/>
      <name val="Roboto"/>
    </font>
    <font>
      <b/>
      <sz val="13"/>
      <color rgb="FFE0DFD5"/>
      <name val="Roboto"/>
    </font>
    <font>
      <b/>
      <sz val="11"/>
      <color theme="0"/>
      <name val="Aptos Narrow"/>
      <family val="2"/>
      <charset val="1"/>
    </font>
    <font>
      <b/>
      <sz val="11"/>
      <color theme="2"/>
      <name val="Aptos Narrow"/>
      <family val="2"/>
      <charset val="1"/>
    </font>
    <font>
      <sz val="11"/>
      <color theme="0"/>
      <name val="Aptos Narrow"/>
      <family val="2"/>
      <charset val="1"/>
    </font>
    <font>
      <b/>
      <sz val="15"/>
      <color theme="0"/>
      <name val="Aptos Narrow"/>
      <family val="2"/>
    </font>
    <font>
      <b/>
      <sz val="15"/>
      <color theme="1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313638"/>
        <bgColor rgb="FF1F3B4D"/>
      </patternFill>
    </fill>
    <fill>
      <patternFill patternType="solid">
        <fgColor rgb="FF1F3B4D"/>
        <bgColor rgb="FF313638"/>
      </patternFill>
    </fill>
    <fill>
      <patternFill patternType="solid">
        <fgColor rgb="FF44494B"/>
        <bgColor rgb="FF4C4A4A"/>
      </patternFill>
    </fill>
    <fill>
      <patternFill patternType="solid">
        <fgColor rgb="FFE4B363"/>
        <bgColor rgb="FFC0C0C0"/>
      </patternFill>
    </fill>
    <fill>
      <patternFill patternType="solid">
        <fgColor rgb="FF4A5A5F"/>
        <bgColor rgb="FF3E5C6B"/>
      </patternFill>
    </fill>
    <fill>
      <patternFill patternType="solid">
        <fgColor rgb="FF3E5C6B"/>
        <bgColor rgb="FF4A5A5F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DDDDDD"/>
      </patternFill>
    </fill>
    <fill>
      <patternFill patternType="solid">
        <fgColor rgb="FFFFFF99"/>
        <bgColor rgb="FFDDDDDD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5A5F61"/>
      </left>
      <right style="thin">
        <color rgb="FF5A5F61"/>
      </right>
      <top style="thin">
        <color rgb="FF5A5F61"/>
      </top>
      <bottom style="thin">
        <color rgb="FF5A5F61"/>
      </bottom>
      <diagonal/>
    </border>
    <border>
      <left style="medium">
        <color rgb="FFE0DFD5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2" fontId="9" fillId="7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0" fillId="2" borderId="0" xfId="0" applyFill="1"/>
    <xf numFmtId="0" fontId="4" fillId="4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2" fontId="6" fillId="5" borderId="1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/>
    <xf numFmtId="1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166" fontId="10" fillId="2" borderId="1" xfId="0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166" fontId="10" fillId="2" borderId="0" xfId="0" applyNumberFormat="1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2" fontId="10" fillId="2" borderId="0" xfId="0" applyNumberFormat="1" applyFont="1" applyFill="1"/>
    <xf numFmtId="164" fontId="10" fillId="2" borderId="0" xfId="0" applyNumberFormat="1" applyFont="1" applyFill="1"/>
    <xf numFmtId="168" fontId="0" fillId="0" borderId="0" xfId="0" applyNumberFormat="1"/>
    <xf numFmtId="168" fontId="14" fillId="9" borderId="0" xfId="0" applyNumberFormat="1" applyFont="1" applyFill="1"/>
    <xf numFmtId="169" fontId="0" fillId="0" borderId="0" xfId="0" applyNumberFormat="1"/>
    <xf numFmtId="169" fontId="14" fillId="9" borderId="0" xfId="0" applyNumberFormat="1" applyFont="1" applyFill="1"/>
    <xf numFmtId="170" fontId="0" fillId="0" borderId="0" xfId="0" applyNumberFormat="1"/>
    <xf numFmtId="166" fontId="14" fillId="9" borderId="0" xfId="0" applyNumberFormat="1" applyFont="1" applyFill="1"/>
    <xf numFmtId="171" fontId="14" fillId="9" borderId="0" xfId="0" applyNumberFormat="1" applyFont="1" applyFill="1"/>
    <xf numFmtId="172" fontId="0" fillId="10" borderId="0" xfId="0" applyNumberFormat="1" applyFill="1"/>
    <xf numFmtId="173" fontId="14" fillId="9" borderId="0" xfId="0" applyNumberFormat="1" applyFont="1" applyFill="1"/>
    <xf numFmtId="0" fontId="3" fillId="3" borderId="0" xfId="0" applyFont="1" applyFill="1" applyAlignment="1">
      <alignment horizontal="left" vertical="center" wrapText="1" indent="1"/>
    </xf>
    <xf numFmtId="0" fontId="7" fillId="2" borderId="0" xfId="0" applyFont="1" applyFill="1" applyAlignment="1">
      <alignment horizontal="left" vertical="center" wrapText="1"/>
    </xf>
    <xf numFmtId="2" fontId="9" fillId="7" borderId="0" xfId="0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top"/>
    </xf>
    <xf numFmtId="0" fontId="15" fillId="8" borderId="0" xfId="0" applyFont="1" applyFill="1" applyAlignment="1">
      <alignment horizontal="center"/>
    </xf>
    <xf numFmtId="172" fontId="16" fillId="11" borderId="0" xfId="0" applyNumberFormat="1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E5C6B"/>
      <rgbColor rgb="FFC0C0C0"/>
      <rgbColor rgb="FF4A5A5F"/>
      <rgbColor rgb="FF9999FF"/>
      <rgbColor rgb="FF993366"/>
      <rgbColor rgb="FFFFFFCC"/>
      <rgbColor rgb="FFCCFFFF"/>
      <rgbColor rgb="FF660066"/>
      <rgbColor rgb="FFFF8080"/>
      <rgbColor rgb="FF0066CC"/>
      <rgbColor rgb="FFE0DF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4B363"/>
      <rgbColor rgb="FF3366FF"/>
      <rgbColor rgb="FF33CCCC"/>
      <rgbColor rgb="FF99CC00"/>
      <rgbColor rgb="FFFFCC00"/>
      <rgbColor rgb="FFFF9900"/>
      <rgbColor rgb="FFFF6600"/>
      <rgbColor rgb="FF5A5F61"/>
      <rgbColor rgb="FF969696"/>
      <rgbColor rgb="FF1F3B4D"/>
      <rgbColor rgb="FF2E86AB"/>
      <rgbColor rgb="FF003300"/>
      <rgbColor rgb="FF44494B"/>
      <rgbColor rgb="FF993300"/>
      <rgbColor rgb="FF993366"/>
      <rgbColor rgb="FF4C4A4A"/>
      <rgbColor rgb="FF3136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empo%20de%20Espera%20-%20AQ%20-%20Ferr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o de Espera"/>
      <sheetName val="Tempo de Espera - Trechos"/>
      <sheetName val="DN CPVC"/>
    </sheetNames>
    <sheetDataSet>
      <sheetData sheetId="0"/>
      <sheetData sheetId="1"/>
      <sheetData sheetId="2">
        <row r="5">
          <cell r="A5">
            <v>15</v>
          </cell>
          <cell r="B5">
            <v>11.8</v>
          </cell>
        </row>
        <row r="6">
          <cell r="A6">
            <v>22</v>
          </cell>
          <cell r="B6">
            <v>17.600000000000001</v>
          </cell>
        </row>
        <row r="7">
          <cell r="A7">
            <v>28</v>
          </cell>
          <cell r="B7">
            <v>22.6</v>
          </cell>
        </row>
        <row r="8">
          <cell r="A8">
            <v>35</v>
          </cell>
          <cell r="B8">
            <v>28.6</v>
          </cell>
        </row>
        <row r="9">
          <cell r="A9">
            <v>42</v>
          </cell>
          <cell r="B9">
            <v>34.400000000000006</v>
          </cell>
        </row>
        <row r="10">
          <cell r="A10">
            <v>54</v>
          </cell>
          <cell r="B10">
            <v>44.2</v>
          </cell>
        </row>
        <row r="11">
          <cell r="A11">
            <v>73</v>
          </cell>
          <cell r="B11">
            <v>59.199999999999996</v>
          </cell>
        </row>
        <row r="12">
          <cell r="A12">
            <v>89</v>
          </cell>
          <cell r="B12">
            <v>72</v>
          </cell>
        </row>
        <row r="13">
          <cell r="A13">
            <v>114</v>
          </cell>
          <cell r="B13">
            <v>93.199999999999989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A1:D29"/>
  <sheetViews>
    <sheetView showGridLines="0" tabSelected="1" zoomScale="85" zoomScaleNormal="85" workbookViewId="0">
      <pane ySplit="3" topLeftCell="A10" activePane="bottomLeft" state="frozen"/>
      <selection pane="bottomLeft" activeCell="B27" sqref="B27:C27"/>
    </sheetView>
  </sheetViews>
  <sheetFormatPr defaultColWidth="8.6640625" defaultRowHeight="14.4" x14ac:dyDescent="0.3"/>
  <cols>
    <col min="1" max="1" width="42" customWidth="1"/>
    <col min="2" max="3" width="16" customWidth="1"/>
    <col min="4" max="4" width="30" customWidth="1"/>
  </cols>
  <sheetData>
    <row r="1" spans="1:4" ht="25.5" customHeight="1" x14ac:dyDescent="0.3">
      <c r="A1" s="38" t="s">
        <v>0</v>
      </c>
      <c r="B1" s="38"/>
      <c r="C1" s="38"/>
      <c r="D1" s="38"/>
    </row>
    <row r="2" spans="1:4" x14ac:dyDescent="0.3">
      <c r="A2" s="39" t="s">
        <v>1</v>
      </c>
      <c r="B2" s="39"/>
      <c r="C2" s="39"/>
      <c r="D2" s="39"/>
    </row>
    <row r="3" spans="1:4" ht="6" customHeight="1" x14ac:dyDescent="0.3">
      <c r="A3" s="3"/>
      <c r="B3" s="3"/>
      <c r="C3" s="3"/>
      <c r="D3" s="3"/>
    </row>
    <row r="4" spans="1:4" ht="19.5" customHeight="1" x14ac:dyDescent="0.3">
      <c r="A4" s="34" t="s">
        <v>2</v>
      </c>
      <c r="B4" s="34"/>
      <c r="C4" s="34"/>
      <c r="D4" s="34"/>
    </row>
    <row r="5" spans="1:4" ht="15.75" customHeight="1" x14ac:dyDescent="0.3">
      <c r="A5" s="4" t="s">
        <v>3</v>
      </c>
      <c r="B5" s="4" t="s">
        <v>4</v>
      </c>
      <c r="C5" s="4" t="s">
        <v>5</v>
      </c>
      <c r="D5" s="4" t="s">
        <v>6</v>
      </c>
    </row>
    <row r="6" spans="1:4" ht="18" customHeight="1" x14ac:dyDescent="0.3">
      <c r="A6" s="5" t="s">
        <v>7</v>
      </c>
      <c r="B6" s="6" t="s">
        <v>8</v>
      </c>
      <c r="C6" s="6" t="s">
        <v>8</v>
      </c>
      <c r="D6" s="2" t="s">
        <v>9</v>
      </c>
    </row>
    <row r="7" spans="1:4" ht="18" customHeight="1" x14ac:dyDescent="0.3">
      <c r="A7" s="5" t="s">
        <v>10</v>
      </c>
      <c r="B7" s="7">
        <v>22</v>
      </c>
      <c r="C7" s="7">
        <v>22</v>
      </c>
      <c r="D7" s="2" t="s">
        <v>11</v>
      </c>
    </row>
    <row r="8" spans="1:4" ht="18" customHeight="1" x14ac:dyDescent="0.3">
      <c r="A8" s="5" t="s">
        <v>12</v>
      </c>
      <c r="B8" s="8">
        <f>IF(B6="CPVC",VLOOKUP(B7,'Dados e Cálculos'!$A$6:$B$13,2,0),VLOOKUP(B7,'Dados e Cálculos'!$E$6:$F$14,2,0))</f>
        <v>17.600000000000001</v>
      </c>
      <c r="C8" s="8">
        <f>IF(C6="CPVC",VLOOKUP(C7,'Dados e Cálculos'!$A$6:$B$13,2,0),VLOOKUP(C7,'Dados e Cálculos'!$E$6:$F$14,2,0))</f>
        <v>17.600000000000001</v>
      </c>
      <c r="D8" s="2" t="s">
        <v>13</v>
      </c>
    </row>
    <row r="9" spans="1:4" ht="18" customHeight="1" x14ac:dyDescent="0.3">
      <c r="A9" s="5" t="s">
        <v>14</v>
      </c>
      <c r="B9" s="9">
        <v>6.0000000000000001E-3</v>
      </c>
      <c r="C9" s="9">
        <v>6.0000000000000001E-3</v>
      </c>
      <c r="D9" s="2" t="s">
        <v>15</v>
      </c>
    </row>
    <row r="10" spans="1:4" ht="18" customHeight="1" x14ac:dyDescent="0.3">
      <c r="A10" s="5" t="s">
        <v>16</v>
      </c>
      <c r="B10" s="10">
        <v>27.37</v>
      </c>
      <c r="C10" s="10">
        <v>44.05</v>
      </c>
      <c r="D10" s="2" t="s">
        <v>17</v>
      </c>
    </row>
    <row r="11" spans="1:4" ht="18" customHeight="1" x14ac:dyDescent="0.3">
      <c r="A11" s="5" t="s">
        <v>18</v>
      </c>
      <c r="B11" s="10">
        <v>15.52</v>
      </c>
      <c r="C11" s="10">
        <v>31.9</v>
      </c>
      <c r="D11" s="2" t="s">
        <v>17</v>
      </c>
    </row>
    <row r="12" spans="1:4" ht="6" customHeight="1" x14ac:dyDescent="0.3">
      <c r="A12" s="3"/>
      <c r="B12" s="3"/>
      <c r="C12" s="3"/>
      <c r="D12" s="3"/>
    </row>
    <row r="13" spans="1:4" ht="18" customHeight="1" x14ac:dyDescent="0.3">
      <c r="A13" s="5" t="s">
        <v>19</v>
      </c>
      <c r="B13" s="7">
        <v>40</v>
      </c>
      <c r="C13" s="35" t="s">
        <v>20</v>
      </c>
      <c r="D13" s="35"/>
    </row>
    <row r="14" spans="1:4" ht="18" customHeight="1" x14ac:dyDescent="0.3">
      <c r="A14" s="5" t="s">
        <v>21</v>
      </c>
      <c r="B14" s="10">
        <v>6</v>
      </c>
      <c r="C14" s="35" t="s">
        <v>22</v>
      </c>
      <c r="D14" s="35"/>
    </row>
    <row r="15" spans="1:4" ht="6" customHeight="1" x14ac:dyDescent="0.3">
      <c r="A15" s="3"/>
      <c r="B15" s="3"/>
      <c r="C15" s="3"/>
      <c r="D15" s="3"/>
    </row>
    <row r="16" spans="1:4" ht="19.5" customHeight="1" x14ac:dyDescent="0.3">
      <c r="A16" s="34" t="s">
        <v>23</v>
      </c>
      <c r="B16" s="34"/>
      <c r="C16" s="34"/>
      <c r="D16" s="34"/>
    </row>
    <row r="17" spans="1:4" ht="15.75" customHeight="1" x14ac:dyDescent="0.3">
      <c r="A17" s="4"/>
      <c r="B17" s="4" t="s">
        <v>4</v>
      </c>
      <c r="C17" s="4" t="s">
        <v>5</v>
      </c>
      <c r="D17" s="4"/>
    </row>
    <row r="18" spans="1:4" ht="21.75" customHeight="1" x14ac:dyDescent="0.3">
      <c r="A18" s="11" t="s">
        <v>24</v>
      </c>
      <c r="B18" s="1">
        <f>'Dados e Cálculos'!$B$26</f>
        <v>3.4149911975989098</v>
      </c>
      <c r="C18" s="1">
        <f>'Dados e Cálculos'!$C$26</f>
        <v>2.5850088024010902</v>
      </c>
      <c r="D18" s="12" t="s">
        <v>22</v>
      </c>
    </row>
    <row r="19" spans="1:4" ht="21.75" customHeight="1" x14ac:dyDescent="0.3">
      <c r="A19" s="11" t="s">
        <v>25</v>
      </c>
      <c r="B19" s="1" t="str">
        <f>INT(ROUND((((PI()*('Balanço Vazão'!$B$8/1000)^2/4)*'Balanço Vazão'!$B$11*1000)/B18)*60,0)/60)&amp;" min "&amp;TEXT(MOD(ROUND((((PI()*('Balanço Vazão'!$B$8/1000)^2/4)*'Balanço Vazão'!$B$11*1000)/B18)*60,0),60),"00")&amp;" s"</f>
        <v>1 min 06 s</v>
      </c>
      <c r="C19" s="1" t="str">
        <f>INT(ROUND((((PI()*('Balanço Vazão'!$C$8/1000)^2/4)*'Balanço Vazão'!$C$11*1000)/C18)*60,0)/60)&amp;" min "&amp;TEXT(MOD(ROUND((((PI()*('Balanço Vazão'!$C$8/1000)^2/4)*'Balanço Vazão'!$C$11*1000)/C18)*60,0),60),"00")&amp;" s"</f>
        <v>3 min 00 s</v>
      </c>
      <c r="D19" s="12" t="s">
        <v>26</v>
      </c>
    </row>
    <row r="20" spans="1:4" ht="6" customHeight="1" x14ac:dyDescent="0.3">
      <c r="A20" s="3"/>
      <c r="B20" s="3"/>
      <c r="C20" s="3"/>
      <c r="D20" s="3"/>
    </row>
    <row r="21" spans="1:4" ht="24" x14ac:dyDescent="0.3">
      <c r="A21" s="2" t="s">
        <v>27</v>
      </c>
      <c r="B21" s="13">
        <f>B18+C18</f>
        <v>6</v>
      </c>
      <c r="C21" s="3"/>
      <c r="D21" s="3"/>
    </row>
    <row r="22" spans="1:4" ht="6" customHeight="1" x14ac:dyDescent="0.3">
      <c r="A22" s="3"/>
      <c r="B22" s="3"/>
      <c r="C22" s="3"/>
      <c r="D22" s="3"/>
    </row>
    <row r="23" spans="1:4" ht="19.5" customHeight="1" x14ac:dyDescent="0.3">
      <c r="A23" s="34" t="s">
        <v>28</v>
      </c>
      <c r="B23" s="34"/>
      <c r="C23" s="34"/>
      <c r="D23" s="34"/>
    </row>
    <row r="24" spans="1:4" ht="18" customHeight="1" x14ac:dyDescent="0.3">
      <c r="A24" s="5" t="s">
        <v>29</v>
      </c>
      <c r="B24" s="10">
        <v>1</v>
      </c>
      <c r="C24" s="35" t="s">
        <v>30</v>
      </c>
      <c r="D24" s="35"/>
    </row>
    <row r="25" spans="1:4" ht="15.75" customHeight="1" x14ac:dyDescent="0.3">
      <c r="A25" s="4"/>
      <c r="B25" s="4" t="s">
        <v>4</v>
      </c>
      <c r="C25" s="4" t="s">
        <v>5</v>
      </c>
      <c r="D25" s="4"/>
    </row>
    <row r="26" spans="1:4" ht="21.75" customHeight="1" x14ac:dyDescent="0.3">
      <c r="A26" s="11" t="s">
        <v>31</v>
      </c>
      <c r="B26" s="1">
        <f>'Dados e Cálculos'!$B$38</f>
        <v>10.166344086572899</v>
      </c>
      <c r="C26" s="1">
        <f>((PI()*('Balanço Vazão'!$C$8/1000)^2/4)*'Balanço Vazão'!$C$11*1000)/'Balanço Vazão'!$B$24</f>
        <v>7.760789429498395</v>
      </c>
      <c r="D26" s="12" t="s">
        <v>22</v>
      </c>
    </row>
    <row r="27" spans="1:4" ht="21.75" customHeight="1" x14ac:dyDescent="0.3">
      <c r="A27" s="11" t="s">
        <v>32</v>
      </c>
      <c r="B27" s="36">
        <f>B26+C26</f>
        <v>17.927133516071294</v>
      </c>
      <c r="C27" s="36"/>
      <c r="D27" s="12" t="s">
        <v>22</v>
      </c>
    </row>
    <row r="28" spans="1:4" ht="6" customHeight="1" x14ac:dyDescent="0.3">
      <c r="A28" s="3"/>
      <c r="B28" s="3"/>
      <c r="C28" s="3"/>
      <c r="D28" s="3"/>
    </row>
    <row r="29" spans="1:4" ht="25.5" customHeight="1" x14ac:dyDescent="0.3">
      <c r="A29" s="37" t="s">
        <v>33</v>
      </c>
      <c r="B29" s="37"/>
      <c r="C29" s="37"/>
      <c r="D29" s="37"/>
    </row>
  </sheetData>
  <mergeCells count="10">
    <mergeCell ref="A1:D1"/>
    <mergeCell ref="A2:D2"/>
    <mergeCell ref="A4:D4"/>
    <mergeCell ref="C13:D13"/>
    <mergeCell ref="C14:D14"/>
    <mergeCell ref="A16:D16"/>
    <mergeCell ref="A23:D23"/>
    <mergeCell ref="C24:D24"/>
    <mergeCell ref="B27:C27"/>
    <mergeCell ref="A29:D29"/>
  </mergeCells>
  <dataValidations count="2">
    <dataValidation type="list" sqref="B6:C6" xr:uid="{00000000-0002-0000-0000-000000000000}">
      <formula1>"CPVC,PVC"</formula1>
      <formula2>0</formula2>
    </dataValidation>
    <dataValidation type="list" sqref="B7:C7" xr:uid="{00000000-0002-0000-0000-000001000000}">
      <formula1>INDIRECT(IF(B6="CPVC","CPVC_DN","PVC_DN"))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8CF48-2744-4980-9B2C-68CFCBF9F6F0}">
  <dimension ref="B2:C17"/>
  <sheetViews>
    <sheetView showGridLines="0" workbookViewId="0">
      <selection activeCell="C8" sqref="C8"/>
    </sheetView>
  </sheetViews>
  <sheetFormatPr defaultColWidth="8.77734375" defaultRowHeight="14.4" x14ac:dyDescent="0.3"/>
  <cols>
    <col min="1" max="1" width="3" customWidth="1"/>
    <col min="2" max="2" width="20.21875" customWidth="1"/>
    <col min="3" max="3" width="14.21875" customWidth="1"/>
  </cols>
  <sheetData>
    <row r="2" spans="2:3" x14ac:dyDescent="0.3">
      <c r="B2" s="40" t="s">
        <v>57</v>
      </c>
      <c r="C2" s="40"/>
    </row>
    <row r="3" spans="2:3" x14ac:dyDescent="0.3">
      <c r="B3" s="41" t="s">
        <v>58</v>
      </c>
      <c r="C3" s="41"/>
    </row>
    <row r="4" spans="2:3" x14ac:dyDescent="0.3">
      <c r="B4" t="s">
        <v>59</v>
      </c>
      <c r="C4" s="25">
        <v>3.42</v>
      </c>
    </row>
    <row r="5" spans="2:3" x14ac:dyDescent="0.3">
      <c r="B5" t="s">
        <v>60</v>
      </c>
      <c r="C5">
        <v>1</v>
      </c>
    </row>
    <row r="6" spans="2:3" x14ac:dyDescent="0.3">
      <c r="B6" t="s">
        <v>61</v>
      </c>
      <c r="C6" s="26">
        <f>C4*C5</f>
        <v>3.42</v>
      </c>
    </row>
    <row r="7" spans="2:3" x14ac:dyDescent="0.3">
      <c r="B7" t="s">
        <v>62</v>
      </c>
      <c r="C7" s="27">
        <v>22</v>
      </c>
    </row>
    <row r="8" spans="2:3" x14ac:dyDescent="0.3">
      <c r="B8" t="s">
        <v>63</v>
      </c>
      <c r="C8" s="28">
        <f>INDEX('[1]DN CPVC'!$B$5:$B$13,MATCH(C7,'[1]DN CPVC'!$A$5:$A$13,2))</f>
        <v>17.600000000000001</v>
      </c>
    </row>
    <row r="10" spans="2:3" x14ac:dyDescent="0.3">
      <c r="B10" t="s">
        <v>64</v>
      </c>
      <c r="C10" s="29">
        <v>15.52</v>
      </c>
    </row>
    <row r="11" spans="2:3" x14ac:dyDescent="0.3">
      <c r="B11" t="s">
        <v>65</v>
      </c>
      <c r="C11" s="30">
        <f>((C8/1000)^2*3.14)/4</f>
        <v>2.4316160000000003E-4</v>
      </c>
    </row>
    <row r="12" spans="2:3" x14ac:dyDescent="0.3">
      <c r="B12" t="s">
        <v>66</v>
      </c>
      <c r="C12" s="31">
        <f>(4*(C4/60)/1000)/(3.14*(C8/1000)^2)</f>
        <v>0.23441201242301415</v>
      </c>
    </row>
    <row r="13" spans="2:3" x14ac:dyDescent="0.3">
      <c r="B13" t="s">
        <v>67</v>
      </c>
      <c r="C13" s="32">
        <f>(((C10/C12)/60)/60)*(1/24)</f>
        <v>7.6629873944119534E-4</v>
      </c>
    </row>
    <row r="14" spans="2:3" x14ac:dyDescent="0.3">
      <c r="B14" t="s">
        <v>68</v>
      </c>
      <c r="C14" s="33">
        <f>(C11*C10)*1000</f>
        <v>3.7738680320000002</v>
      </c>
    </row>
    <row r="16" spans="2:3" ht="19.8" x14ac:dyDescent="0.4">
      <c r="B16" s="42" t="s">
        <v>69</v>
      </c>
      <c r="C16" s="42"/>
    </row>
    <row r="17" spans="2:3" ht="19.8" x14ac:dyDescent="0.4">
      <c r="B17" s="43">
        <f>C13</f>
        <v>7.6629873944119534E-4</v>
      </c>
      <c r="C17" s="44"/>
    </row>
  </sheetData>
  <mergeCells count="4">
    <mergeCell ref="B2:C2"/>
    <mergeCell ref="B3:C3"/>
    <mergeCell ref="B16:C16"/>
    <mergeCell ref="B17:C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A5F61"/>
  </sheetPr>
  <dimension ref="A1:N38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3" width="12" customWidth="1"/>
    <col min="4" max="4" width="4" customWidth="1"/>
    <col min="5" max="6" width="12" customWidth="1"/>
    <col min="7" max="7" width="4" customWidth="1"/>
    <col min="8" max="8" width="10" customWidth="1"/>
    <col min="9" max="9" width="14" customWidth="1"/>
    <col min="10" max="10" width="4" customWidth="1"/>
    <col min="11" max="14" width="12" customWidth="1"/>
  </cols>
  <sheetData>
    <row r="1" spans="1:14" ht="25.5" customHeight="1" x14ac:dyDescent="0.3">
      <c r="A1" s="45" t="s">
        <v>34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x14ac:dyDescent="0.3">
      <c r="A2" s="39" t="s">
        <v>35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6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3">
      <c r="A4" s="14" t="s">
        <v>36</v>
      </c>
      <c r="E4" s="14" t="s">
        <v>37</v>
      </c>
      <c r="H4" s="14" t="s">
        <v>38</v>
      </c>
    </row>
    <row r="5" spans="1:14" ht="24" x14ac:dyDescent="0.3">
      <c r="A5" s="4" t="s">
        <v>39</v>
      </c>
      <c r="B5" s="4" t="s">
        <v>40</v>
      </c>
      <c r="E5" s="4" t="s">
        <v>39</v>
      </c>
      <c r="F5" s="4" t="s">
        <v>40</v>
      </c>
      <c r="H5" s="4" t="s">
        <v>41</v>
      </c>
      <c r="I5" s="4" t="s">
        <v>42</v>
      </c>
    </row>
    <row r="6" spans="1:14" x14ac:dyDescent="0.3">
      <c r="A6" s="15">
        <v>15</v>
      </c>
      <c r="B6" s="16">
        <v>11.8</v>
      </c>
      <c r="E6" s="15">
        <v>20</v>
      </c>
      <c r="F6" s="16">
        <v>17</v>
      </c>
      <c r="H6" s="15">
        <v>10</v>
      </c>
      <c r="I6" s="17">
        <v>1.3079999999999999E-3</v>
      </c>
    </row>
    <row r="7" spans="1:14" x14ac:dyDescent="0.3">
      <c r="A7" s="15">
        <v>22</v>
      </c>
      <c r="B7" s="16">
        <v>17.600000000000001</v>
      </c>
      <c r="E7" s="15">
        <v>25</v>
      </c>
      <c r="F7" s="16">
        <v>21.4</v>
      </c>
      <c r="H7" s="15">
        <v>20</v>
      </c>
      <c r="I7" s="17">
        <v>1.0020000000000001E-3</v>
      </c>
    </row>
    <row r="8" spans="1:14" x14ac:dyDescent="0.3">
      <c r="A8" s="15">
        <v>28</v>
      </c>
      <c r="B8" s="16">
        <v>22.6</v>
      </c>
      <c r="E8" s="15">
        <v>32</v>
      </c>
      <c r="F8" s="16">
        <v>27.8</v>
      </c>
      <c r="H8" s="15">
        <v>30</v>
      </c>
      <c r="I8" s="17">
        <v>7.9779999999999998E-4</v>
      </c>
    </row>
    <row r="9" spans="1:14" x14ac:dyDescent="0.3">
      <c r="A9" s="15">
        <v>35</v>
      </c>
      <c r="B9" s="16">
        <v>28.6</v>
      </c>
      <c r="E9" s="15">
        <v>40</v>
      </c>
      <c r="F9" s="16">
        <v>35.200000000000003</v>
      </c>
      <c r="H9" s="15">
        <v>40</v>
      </c>
      <c r="I9" s="17">
        <v>6.5309999999999999E-4</v>
      </c>
    </row>
    <row r="10" spans="1:14" x14ac:dyDescent="0.3">
      <c r="A10" s="15">
        <v>42</v>
      </c>
      <c r="B10" s="16">
        <v>34.4</v>
      </c>
      <c r="E10" s="15">
        <v>50</v>
      </c>
      <c r="F10" s="16">
        <v>44</v>
      </c>
      <c r="H10" s="15">
        <v>50</v>
      </c>
      <c r="I10" s="17">
        <v>5.4710000000000002E-4</v>
      </c>
    </row>
    <row r="11" spans="1:14" x14ac:dyDescent="0.3">
      <c r="A11" s="15">
        <v>54</v>
      </c>
      <c r="B11" s="16">
        <v>44.2</v>
      </c>
      <c r="E11" s="15">
        <v>60</v>
      </c>
      <c r="F11" s="16">
        <v>53</v>
      </c>
      <c r="H11" s="15">
        <v>60</v>
      </c>
      <c r="I11" s="17">
        <v>4.6680000000000002E-4</v>
      </c>
    </row>
    <row r="12" spans="1:14" x14ac:dyDescent="0.3">
      <c r="A12" s="15">
        <v>73</v>
      </c>
      <c r="B12" s="16">
        <v>59.2</v>
      </c>
      <c r="E12" s="15">
        <v>75</v>
      </c>
      <c r="F12" s="16">
        <v>66.599999999999994</v>
      </c>
      <c r="H12" s="15">
        <v>70</v>
      </c>
      <c r="I12" s="17">
        <v>4.0440000000000002E-4</v>
      </c>
    </row>
    <row r="13" spans="1:14" x14ac:dyDescent="0.3">
      <c r="A13" s="15">
        <v>89</v>
      </c>
      <c r="B13" s="16">
        <v>72</v>
      </c>
      <c r="E13" s="15">
        <v>85</v>
      </c>
      <c r="F13" s="16">
        <v>75.599999999999994</v>
      </c>
      <c r="H13" s="15">
        <v>80</v>
      </c>
      <c r="I13" s="17">
        <v>3.5500000000000001E-4</v>
      </c>
    </row>
    <row r="14" spans="1:14" x14ac:dyDescent="0.3">
      <c r="E14" s="15">
        <v>110</v>
      </c>
      <c r="F14" s="16">
        <v>97.8</v>
      </c>
      <c r="H14" s="15">
        <v>90</v>
      </c>
      <c r="I14" s="17">
        <v>3.1500000000000001E-4</v>
      </c>
    </row>
    <row r="15" spans="1:14" x14ac:dyDescent="0.3">
      <c r="H15" s="15">
        <v>100</v>
      </c>
      <c r="I15" s="17">
        <v>2.8219999999999997E-4</v>
      </c>
    </row>
    <row r="16" spans="1:14" ht="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7" x14ac:dyDescent="0.3">
      <c r="A17" s="18" t="s">
        <v>43</v>
      </c>
      <c r="B17" s="19">
        <f>VLOOKUP('Balanço Vazão'!$B$13,$H$6:$I$15,2)</f>
        <v>6.5309999999999999E-4</v>
      </c>
    </row>
    <row r="19" spans="1:7" ht="19.5" customHeight="1" x14ac:dyDescent="0.3">
      <c r="A19" s="34" t="s">
        <v>44</v>
      </c>
      <c r="B19" s="34"/>
      <c r="C19" s="34"/>
      <c r="D19" s="34"/>
      <c r="E19" s="34"/>
      <c r="F19" s="34"/>
      <c r="G19" s="34"/>
    </row>
    <row r="20" spans="1:7" ht="15.75" customHeight="1" x14ac:dyDescent="0.3">
      <c r="A20" s="4" t="s">
        <v>45</v>
      </c>
      <c r="B20" s="4" t="s">
        <v>46</v>
      </c>
      <c r="C20" s="4" t="s">
        <v>47</v>
      </c>
      <c r="D20" s="4" t="s">
        <v>48</v>
      </c>
      <c r="E20" s="4" t="s">
        <v>49</v>
      </c>
      <c r="F20" s="4" t="s">
        <v>50</v>
      </c>
      <c r="G20" s="4" t="s">
        <v>51</v>
      </c>
    </row>
    <row r="21" spans="1:7" x14ac:dyDescent="0.3">
      <c r="A21" s="20" t="s">
        <v>52</v>
      </c>
      <c r="B21" s="21">
        <f>'Balanço Vazão'!$B$14*('Balanço Vazão'!$B$8^2.5/SQRT('Balanço Vazão'!$B$10))/(('Balanço Vazão'!$B$8^2.5/SQRT('Balanço Vazão'!$B$10))+('Balanço Vazão'!$C$8^2.5/SQRT('Balanço Vazão'!$C$10)))</f>
        <v>3.3552339890765439</v>
      </c>
      <c r="C21" s="21">
        <f>'Balanço Vazão'!$B$14-B21</f>
        <v>2.6447660109234561</v>
      </c>
      <c r="D21" s="20" t="s">
        <v>53</v>
      </c>
      <c r="E21" s="20" t="s">
        <v>53</v>
      </c>
      <c r="F21" s="20" t="s">
        <v>53</v>
      </c>
      <c r="G21" s="20" t="s">
        <v>53</v>
      </c>
    </row>
    <row r="22" spans="1:7" x14ac:dyDescent="0.3">
      <c r="A22" s="20">
        <v>1</v>
      </c>
      <c r="B22" s="21">
        <f>'Balanço Vazão'!$B$14*('Balanço Vazão'!$B$8^2.5/SQRT(F22*'Balanço Vazão'!$B$10))/(('Balanço Vazão'!$B$8^2.5/SQRT(F22*'Balanço Vazão'!$B$10))+('Balanço Vazão'!$C$8^2.5/SQRT(G22*'Balanço Vazão'!$C$10)))</f>
        <v>3.4062956562821567</v>
      </c>
      <c r="C22" s="21">
        <f>'Balanço Vazão'!$B$14-B22</f>
        <v>2.5937043437178433</v>
      </c>
      <c r="D22" s="15">
        <f>1000*((B21/60000)/(PI()*('Balanço Vazão'!$B$8/1000)^2/4))*('Balanço Vazão'!$B$8/1000)/'Dados e Cálculos'!$B$17</f>
        <v>6194.2585546724749</v>
      </c>
      <c r="E22" s="15">
        <f>1000*((C21/60000)/(PI()*('Balanço Vazão'!$C$8/1000)^2/4))*('Balanço Vazão'!$C$8/1000)/'Dados e Cálculos'!$B$17</f>
        <v>4882.6295100743509</v>
      </c>
      <c r="F22" s="22">
        <f>0.25/(LOG10((('Balanço Vazão'!$B$9/'Balanço Vazão'!$B$8)/3.7)+(5.74/(D22^0.9))))^2</f>
        <v>3.597331588564491E-2</v>
      </c>
      <c r="G22" s="22">
        <f>0.25/(LOG10((('Balanço Vazão'!$C$9/'Balanço Vazão'!$C$8)/3.7)+(5.74/(E22^0.9))))^2</f>
        <v>3.8550773709068183E-2</v>
      </c>
    </row>
    <row r="23" spans="1:7" x14ac:dyDescent="0.3">
      <c r="A23" s="20">
        <v>2</v>
      </c>
      <c r="B23" s="21">
        <f>'Balanço Vazão'!$B$14*('Balanço Vazão'!$B$8^2.5/SQRT(F23*'Balanço Vazão'!$B$10))/(('Balanço Vazão'!$B$8^2.5/SQRT(F23*'Balanço Vazão'!$B$10))+('Balanço Vazão'!$C$8^2.5/SQRT(G23*'Balanço Vazão'!$C$10)))</f>
        <v>3.4137255221622387</v>
      </c>
      <c r="C23" s="21">
        <f>'Balanço Vazão'!$B$14-B23</f>
        <v>2.5862744778377613</v>
      </c>
      <c r="D23" s="15">
        <f>1000*((B22/60000)/(PI()*('Balanço Vazão'!$B$8/1000)^2/4))*('Balanço Vazão'!$B$8/1000)/'Dados e Cálculos'!$B$17</f>
        <v>6288.5259500117963</v>
      </c>
      <c r="E23" s="15">
        <f>1000*((C22/60000)/(PI()*('Balanço Vazão'!$C$8/1000)^2/4))*('Balanço Vazão'!$C$8/1000)/'Dados e Cálculos'!$B$17</f>
        <v>4788.3621147350295</v>
      </c>
      <c r="F23" s="22">
        <f>0.25/(LOG10((('Balanço Vazão'!$B$9/'Balanço Vazão'!$B$8)/3.7)+(5.74/(D23^0.9))))^2</f>
        <v>3.5819160348114144E-2</v>
      </c>
      <c r="G23" s="22">
        <f>0.25/(LOG10((('Balanço Vazão'!$C$9/'Balanço Vazão'!$C$8)/3.7)+(5.74/(E23^0.9))))^2</f>
        <v>3.8775040118473929E-2</v>
      </c>
    </row>
    <row r="24" spans="1:7" x14ac:dyDescent="0.3">
      <c r="A24" s="20">
        <v>3</v>
      </c>
      <c r="B24" s="21">
        <f>'Balanço Vazão'!$B$14*('Balanço Vazão'!$B$8^2.5/SQRT(F24*'Balanço Vazão'!$B$10))/(('Balanço Vazão'!$B$8^2.5/SQRT(F24*'Balanço Vazão'!$B$10))+('Balanço Vazão'!$C$8^2.5/SQRT(G24*'Balanço Vazão'!$C$10)))</f>
        <v>3.4148097838442548</v>
      </c>
      <c r="C24" s="21">
        <f>'Balanço Vazão'!$B$14-B24</f>
        <v>2.5851902161557452</v>
      </c>
      <c r="D24" s="15">
        <f>1000*((B23/60000)/(PI()*('Balanço Vazão'!$B$8/1000)^2/4))*('Balanço Vazão'!$B$8/1000)/'Dados e Cálculos'!$B$17</f>
        <v>6302.2425821267561</v>
      </c>
      <c r="E24" s="15">
        <f>1000*((C23/60000)/(PI()*('Balanço Vazão'!$C$8/1000)^2/4))*('Balanço Vazão'!$C$8/1000)/'Dados e Cálculos'!$B$17</f>
        <v>4774.6454826200707</v>
      </c>
      <c r="F24" s="22">
        <f>0.25/(LOG10((('Balanço Vazão'!$B$9/'Balanço Vazão'!$B$8)/3.7)+(5.74/(D24^0.9))))^2</f>
        <v>3.5797011058314294E-2</v>
      </c>
      <c r="G24" s="22">
        <f>0.25/(LOG10((('Balanço Vazão'!$C$9/'Balanço Vazão'!$C$8)/3.7)+(5.74/(E24^0.9))))^2</f>
        <v>3.880821587154383E-2</v>
      </c>
    </row>
    <row r="25" spans="1:7" x14ac:dyDescent="0.3">
      <c r="A25" s="20">
        <v>4</v>
      </c>
      <c r="B25" s="21">
        <f>'Balanço Vazão'!$B$14*('Balanço Vazão'!$B$8^2.5/SQRT(F25*'Balanço Vazão'!$B$10))/(('Balanço Vazão'!$B$8^2.5/SQRT(F25*'Balanço Vazão'!$B$10))+('Balanço Vazão'!$C$8^2.5/SQRT(G25*'Balanço Vazão'!$C$10)))</f>
        <v>3.4149680844231076</v>
      </c>
      <c r="C25" s="21">
        <f>'Balanço Vazão'!$B$14-B25</f>
        <v>2.5850319155768924</v>
      </c>
      <c r="D25" s="15">
        <f>1000*((B24/60000)/(PI()*('Balanço Vazão'!$B$8/1000)^2/4))*('Balanço Vazão'!$B$8/1000)/'Dados e Cálculos'!$B$17</f>
        <v>6304.2442896741868</v>
      </c>
      <c r="E25" s="15">
        <f>1000*((C24/60000)/(PI()*('Balanço Vazão'!$C$8/1000)^2/4))*('Balanço Vazão'!$C$8/1000)/'Dados e Cálculos'!$B$17</f>
        <v>4772.64377507264</v>
      </c>
      <c r="F25" s="22">
        <f>0.25/(LOG10((('Balanço Vazão'!$B$9/'Balanço Vazão'!$B$8)/3.7)+(5.74/(D25^0.9))))^2</f>
        <v>3.579378464231206E-2</v>
      </c>
      <c r="G25" s="22">
        <f>0.25/(LOG10((('Balanço Vazão'!$C$9/'Balanço Vazão'!$C$8)/3.7)+(5.74/(E25^0.9))))^2</f>
        <v>3.881306906714338E-2</v>
      </c>
    </row>
    <row r="26" spans="1:7" x14ac:dyDescent="0.3">
      <c r="A26" s="20">
        <v>5</v>
      </c>
      <c r="B26" s="21">
        <f>'Balanço Vazão'!$B$14*('Balanço Vazão'!$B$8^2.5/SQRT(F26*'Balanço Vazão'!$B$10))/(('Balanço Vazão'!$B$8^2.5/SQRT(F26*'Balanço Vazão'!$B$10))+('Balanço Vazão'!$C$8^2.5/SQRT(G26*'Balanço Vazão'!$C$10)))</f>
        <v>3.4149911975989098</v>
      </c>
      <c r="C26" s="21">
        <f>'Balanço Vazão'!$B$14-B26</f>
        <v>2.5850088024010902</v>
      </c>
      <c r="D26" s="15">
        <f>1000*((B25/60000)/(PI()*('Balanço Vazão'!$B$8/1000)^2/4))*('Balanço Vazão'!$B$8/1000)/'Dados e Cálculos'!$B$17</f>
        <v>6304.5365359729421</v>
      </c>
      <c r="E26" s="15">
        <f>1000*((C25/60000)/(PI()*('Balanço Vazão'!$C$8/1000)^2/4))*('Balanço Vazão'!$C$8/1000)/'Dados e Cálculos'!$B$17</f>
        <v>4772.3515287738846</v>
      </c>
      <c r="F26" s="22">
        <f>0.25/(LOG10((('Balanço Vazão'!$B$9/'Balanço Vazão'!$B$8)/3.7)+(5.74/(D26^0.9))))^2</f>
        <v>3.5793313715725687E-2</v>
      </c>
      <c r="G26" s="22">
        <f>0.25/(LOG10((('Balanço Vazão'!$C$9/'Balanço Vazão'!$C$8)/3.7)+(5.74/(E26^0.9))))^2</f>
        <v>3.8813777877751997E-2</v>
      </c>
    </row>
    <row r="29" spans="1:7" ht="19.5" customHeight="1" x14ac:dyDescent="0.3">
      <c r="A29" s="34" t="s">
        <v>54</v>
      </c>
      <c r="B29" s="34"/>
      <c r="C29" s="34"/>
      <c r="D29" s="34"/>
      <c r="E29" s="34"/>
      <c r="F29" s="34"/>
      <c r="G29" s="34"/>
    </row>
    <row r="30" spans="1:7" x14ac:dyDescent="0.3">
      <c r="A30" s="18" t="s">
        <v>55</v>
      </c>
      <c r="B30" s="23">
        <f>'Balanço Vazão'!$B$24</f>
        <v>1</v>
      </c>
    </row>
    <row r="31" spans="1:7" x14ac:dyDescent="0.3">
      <c r="A31" s="18" t="s">
        <v>56</v>
      </c>
      <c r="B31" s="24">
        <f>(0.25/(LOG10((('Balanço Vazão'!$C$9/'Balanço Vazão'!$C$8)/3.7)+(5.74/((1000*((((PI()*('Balanço Vazão'!$C$8/1000)^2/4)*'Balanço Vazão'!$C$11*1000)/B30)/60000/(PI()*('Balanço Vazão'!$C$8/1000)^2/4))*('Balanço Vazão'!$C$8/1000)/'Dados e Cálculos'!$B$17)^0.9))))^2)*('Balanço Vazão'!$C$10/('Balanço Vazão'!$C$8/1000))*(((((PI()*('Balanço Vazão'!$C$8/1000)^2/4)*'Balanço Vazão'!$C$11*1000)/B30)/60000/(PI()*('Balanço Vazão'!$C$8/1000)^2/4))^2/(2*9.81))</f>
        <v>1.0394807411015039</v>
      </c>
    </row>
    <row r="32" spans="1:7" ht="15.75" customHeight="1" x14ac:dyDescent="0.3">
      <c r="A32" s="4" t="s">
        <v>45</v>
      </c>
      <c r="B32" s="4" t="s">
        <v>46</v>
      </c>
      <c r="C32" s="4" t="s">
        <v>48</v>
      </c>
      <c r="D32" s="4" t="s">
        <v>50</v>
      </c>
    </row>
    <row r="33" spans="1:4" x14ac:dyDescent="0.3">
      <c r="A33" s="20" t="s">
        <v>52</v>
      </c>
      <c r="B33" s="21">
        <f>SQRT('Dados e Cálculos'!$B$31*PI()^2*9.81*(('Balanço Vazão'!$B$8/1000)^5)/(8*0.03*'Balanço Vazão'!$B$10))*60000</f>
        <v>9.6512263321026239</v>
      </c>
      <c r="C33" s="20"/>
      <c r="D33" s="20"/>
    </row>
    <row r="34" spans="1:4" x14ac:dyDescent="0.3">
      <c r="A34" s="20">
        <v>1</v>
      </c>
      <c r="B34" s="21">
        <f>SQRT('Dados e Cálculos'!$B$31*PI()^2*9.81*(('Balanço Vazão'!$B$8/1000)^5)/(8*D34*'Balanço Vazão'!$B$10))*60000</f>
        <v>10.105139597258848</v>
      </c>
      <c r="C34" s="20">
        <f>1000*((B33/60000)/(PI()*('Balanço Vazão'!$B$8/1000)^2/4))*('Balanço Vazão'!$B$8/1000)/'Dados e Cálculos'!$B$17</f>
        <v>17817.592294706308</v>
      </c>
      <c r="D34" s="20">
        <f>0.25/(LOG10((('Balanço Vazão'!$B$9/'Balanço Vazão'!$B$8)/3.7)+(5.74/(C34^0.9))))^2</f>
        <v>2.7365388663741014E-2</v>
      </c>
    </row>
    <row r="35" spans="1:4" x14ac:dyDescent="0.3">
      <c r="A35" s="20">
        <v>2</v>
      </c>
      <c r="B35" s="21">
        <f>SQRT('Dados e Cálculos'!$B$31*PI()^2*9.81*(('Balanço Vazão'!$B$8/1000)^5)/(8*D35*'Balanço Vazão'!$B$10))*60000</f>
        <v>10.159259596600661</v>
      </c>
      <c r="C35" s="20">
        <f>1000*((B34/60000)/(PI()*('Balanço Vazão'!$B$8/1000)^2/4))*('Balanço Vazão'!$B$8/1000)/'Dados e Cálculos'!$B$17</f>
        <v>18655.583366246181</v>
      </c>
      <c r="D35" s="20">
        <f>0.25/(LOG10((('Balanço Vazão'!$B$9/'Balanço Vazão'!$B$8)/3.7)+(5.74/(C35^0.9))))^2</f>
        <v>2.7074605659108259E-2</v>
      </c>
    </row>
    <row r="36" spans="1:4" x14ac:dyDescent="0.3">
      <c r="A36" s="20">
        <v>3</v>
      </c>
      <c r="B36" s="21">
        <f>SQRT('Dados e Cálculos'!$B$31*PI()^2*9.81*(('Balanço Vazão'!$B$8/1000)^5)/(8*D36*'Balanço Vazão'!$B$10))*60000</f>
        <v>10.165534996793175</v>
      </c>
      <c r="C36" s="20">
        <f>1000*((B35/60000)/(PI()*('Balanço Vazão'!$B$8/1000)^2/4))*('Balanço Vazão'!$B$8/1000)/'Dados e Cálculos'!$B$17</f>
        <v>18755.496895375087</v>
      </c>
      <c r="D36" s="20">
        <f>0.25/(LOG10((('Balanço Vazão'!$B$9/'Balanço Vazão'!$B$8)/3.7)+(5.74/(C36^0.9))))^2</f>
        <v>2.7041188521111394E-2</v>
      </c>
    </row>
    <row r="37" spans="1:4" x14ac:dyDescent="0.3">
      <c r="A37" s="20">
        <v>4</v>
      </c>
      <c r="B37" s="21">
        <f>SQRT('Dados e Cálculos'!$B$31*PI()^2*9.81*(('Balanço Vazão'!$B$8/1000)^5)/(8*D37*'Balanço Vazão'!$B$10))*60000</f>
        <v>10.166260290574419</v>
      </c>
      <c r="C37" s="20">
        <f>1000*((B36/60000)/(PI()*('Balanço Vazão'!$B$8/1000)^2/4))*('Balanço Vazão'!$B$8/1000)/'Dados e Cálculos'!$B$17</f>
        <v>18767.082212957415</v>
      </c>
      <c r="D37" s="20">
        <f>0.25/(LOG10((('Balanço Vazão'!$B$9/'Balanço Vazão'!$B$8)/3.7)+(5.74/(C37^0.9))))^2</f>
        <v>2.7037330247628159E-2</v>
      </c>
    </row>
    <row r="38" spans="1:4" x14ac:dyDescent="0.3">
      <c r="A38" s="20">
        <v>5</v>
      </c>
      <c r="B38" s="21">
        <f>SQRT('Dados e Cálculos'!$B$31*PI()^2*9.81*(('Balanço Vazão'!$B$8/1000)^5)/(8*D38*'Balanço Vazão'!$B$10))*60000</f>
        <v>10.166344086572899</v>
      </c>
      <c r="C38" s="20">
        <f>1000*((B37/60000)/(PI()*('Balanço Vazão'!$B$8/1000)^2/4))*('Balanço Vazão'!$B$8/1000)/'Dados e Cálculos'!$B$17</f>
        <v>18768.421212628899</v>
      </c>
      <c r="D38" s="20">
        <f>0.25/(LOG10((('Balanço Vazão'!$B$9/'Balanço Vazão'!$B$8)/3.7)+(5.74/(C38^0.9))))^2</f>
        <v>2.7036884539568734E-2</v>
      </c>
    </row>
  </sheetData>
  <mergeCells count="4">
    <mergeCell ref="A1:N1"/>
    <mergeCell ref="A2:N2"/>
    <mergeCell ref="A19:G19"/>
    <mergeCell ref="A29:G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Balanço Vazão</vt:lpstr>
      <vt:lpstr>Tempo de Espera</vt:lpstr>
      <vt:lpstr>Dados e Cálculos</vt:lpstr>
      <vt:lpstr>CPVC_DN</vt:lpstr>
      <vt:lpstr>PVC_DN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Gabriel</cp:lastModifiedBy>
  <cp:revision>0</cp:revision>
  <dcterms:created xsi:type="dcterms:W3CDTF">2026-07-06T02:19:26Z</dcterms:created>
  <dcterms:modified xsi:type="dcterms:W3CDTF">2026-07-09T17:06:32Z</dcterms:modified>
  <dc:language>en-US</dc:language>
</cp:coreProperties>
</file>