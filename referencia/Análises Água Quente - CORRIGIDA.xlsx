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Shafts e Afins" sheetId="1" state="visible" r:id="rId1"/>
    <sheet xmlns:r="http://schemas.openxmlformats.org/officeDocument/2006/relationships" name="Planilha2" sheetId="2" state="visible" r:id="rId2"/>
    <sheet xmlns:r="http://schemas.openxmlformats.org/officeDocument/2006/relationships" name="Ambientes" sheetId="3" state="visible" r:id="rId3"/>
    <sheet xmlns:r="http://schemas.openxmlformats.org/officeDocument/2006/relationships" name="Solos" sheetId="4" state="visible" r:id="rId4"/>
    <sheet xmlns:r="http://schemas.openxmlformats.org/officeDocument/2006/relationships" name="Coef. Solos" sheetId="5" state="visible" r:id="rId5"/>
    <sheet xmlns:r="http://schemas.openxmlformats.org/officeDocument/2006/relationships" name="_Correçõ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9">
    <numFmt numFmtId="164" formatCode="General&quot; L/min&quot;"/>
    <numFmt numFmtId="165" formatCode="General&quot; mm&quot;"/>
    <numFmt numFmtId="166" formatCode="General&quot; metros&quot;"/>
    <numFmt numFmtId="167" formatCode="0.000000"/>
    <numFmt numFmtId="168" formatCode="0.00&quot; m/s&quot;"/>
    <numFmt numFmtId="169" formatCode="0.00&quot; min&quot;"/>
    <numFmt numFmtId="170" formatCode="0.0&quot; litros&quot;"/>
    <numFmt numFmtId="171" formatCode="0&quot; °C&quot;"/>
    <numFmt numFmtId="172" formatCode="0.00&quot; W/mK&quot;"/>
    <numFmt numFmtId="173" formatCode="0.000"/>
    <numFmt numFmtId="174" formatCode="0.00&quot; kW&quot;"/>
    <numFmt numFmtId="175" formatCode="#.00&quot; kcal&quot;"/>
    <numFmt numFmtId="176" formatCode="0.00000"/>
    <numFmt numFmtId="177" formatCode="[$-F400]h:mm:ss\ AM/PM"/>
    <numFmt numFmtId="178" formatCode="General\ &quot;J/kg·K&quot;"/>
    <numFmt numFmtId="179" formatCode="General\ &quot;kg/s&quot;"/>
    <numFmt numFmtId="180" formatCode="General\ &quot;K/W&quot;"/>
    <numFmt numFmtId="181" formatCode="General\ &quot;m&quot;"/>
    <numFmt numFmtId="182" formatCode="General\ &quot;W/K&quot;"/>
    <numFmt numFmtId="183" formatCode="0.00&quot; °C&quot;"/>
    <numFmt numFmtId="184" formatCode="General\ &quot;W/m²·K&quot;"/>
    <numFmt numFmtId="185" formatCode="General\ &quot;W/m·K&quot;"/>
    <numFmt numFmtId="186" formatCode="#,##0\ &quot;J/kg·K&quot;"/>
    <numFmt numFmtId="187" formatCode="General\ &quot;min&quot;"/>
    <numFmt numFmtId="188" formatCode="0.00\ &quot;°C&quot;"/>
    <numFmt numFmtId="189" formatCode="General\ &quot;°C&quot;"/>
    <numFmt numFmtId="190" formatCode="0.00\ &quot;min&quot;"/>
    <numFmt numFmtId="191" formatCode="#,##0.00\ &quot;J/K&quot;"/>
    <numFmt numFmtId="192" formatCode="#,##0.00\ &quot;s&quot;"/>
  </numFmts>
  <fonts count="15">
    <font>
      <name val="Aptos Narrow"/>
      <charset val="1"/>
      <family val="2"/>
      <color theme="1"/>
      <sz val="11"/>
    </font>
    <font>
      <name val="Aptos Narrow"/>
      <charset val="1"/>
      <family val="2"/>
      <b val="1"/>
      <color theme="1"/>
      <sz val="11"/>
    </font>
    <font>
      <name val="Times New Roman"/>
      <charset val="1"/>
      <family val="1"/>
      <color theme="1"/>
      <sz val="10"/>
    </font>
    <font>
      <name val="Roboto"/>
      <b val="1"/>
      <color theme="0"/>
      <sz val="13"/>
    </font>
    <font>
      <name val="Roboto"/>
      <b val="1"/>
      <color rgb="FFFFC000"/>
      <sz val="11"/>
    </font>
    <font>
      <name val="Roboto"/>
      <b val="1"/>
      <color rgb="FFFFC000"/>
      <sz val="10"/>
    </font>
    <font>
      <name val="Roboto"/>
      <color theme="0" tint="-0.499984740745262"/>
      <sz val="11"/>
    </font>
    <font>
      <name val="Arial Unicode MS"/>
      <family val="2"/>
      <color theme="1"/>
      <sz val="10"/>
    </font>
    <font>
      <name val="Aptos Narrow"/>
      <family val="2"/>
      <color theme="1"/>
      <sz val="11"/>
    </font>
    <font>
      <name val="Aptos Narrow"/>
      <charset val="1"/>
      <family val="2"/>
      <sz val="11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Aptos Narrow"/>
      <family val="2"/>
      <b val="1"/>
      <color theme="1"/>
      <sz val="11"/>
    </font>
    <font>
      <name val="Aptos Narrow"/>
      <family val="2"/>
      <b val="1"/>
      <color theme="0"/>
      <sz val="11"/>
    </font>
    <font>
      <name val="Aptos Narrow"/>
      <charset val="1"/>
      <family val="2"/>
      <b val="1"/>
      <color theme="0"/>
      <sz val="11"/>
    </font>
  </fonts>
  <fills count="10">
    <fill>
      <patternFill/>
    </fill>
    <fill>
      <patternFill patternType="gray125"/>
    </fill>
    <fill>
      <patternFill patternType="solid">
        <fgColor rgb="FFFBE3D6"/>
        <bgColor rgb="FFDDDDDD"/>
      </patternFill>
    </fill>
    <fill>
      <patternFill patternType="solid">
        <fgColor rgb="FFDDDDDD"/>
        <bgColor rgb="FFFBE3D6"/>
      </patternFill>
    </fill>
    <fill>
      <patternFill patternType="solid">
        <fgColor theme="1"/>
        <bgColor rgb="FF003300"/>
      </patternFill>
    </fill>
    <fill>
      <patternFill patternType="solid">
        <fgColor rgb="FFFFFF00"/>
        <bgColor rgb="FFDDDDDD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7" fontId="0" fillId="2" borderId="0" pivotButton="0" quotePrefix="0" xfId="0"/>
    <xf numFmtId="168" fontId="0" fillId="2" borderId="0" pivotButton="0" quotePrefix="0" xfId="0"/>
    <xf numFmtId="169" fontId="0" fillId="0" borderId="0" pivotButton="0" quotePrefix="0" xfId="0"/>
    <xf numFmtId="170" fontId="0" fillId="2" borderId="0" pivotButton="0" quotePrefix="0" xfId="0"/>
    <xf numFmtId="171" fontId="0" fillId="3" borderId="0" pivotButton="0" quotePrefix="0" xfId="0"/>
    <xf numFmtId="172" fontId="0" fillId="3" borderId="0" pivotButton="0" quotePrefix="0" xfId="0"/>
    <xf numFmtId="173" fontId="0" fillId="3" borderId="0" pivotButton="0" quotePrefix="0" xfId="0"/>
    <xf numFmtId="165" fontId="0" fillId="3" borderId="0" pivotButton="0" quotePrefix="0" xfId="0"/>
    <xf numFmtId="174" fontId="0" fillId="2" borderId="0" pivotButton="0" quotePrefix="0" xfId="0"/>
    <xf numFmtId="175" fontId="0" fillId="2" borderId="0" pivotButton="0" quotePrefix="0" xfId="0"/>
    <xf numFmtId="0" fontId="0" fillId="0" borderId="0" applyAlignment="1" pivotButton="0" quotePrefix="0" xfId="0">
      <alignment wrapText="1"/>
    </xf>
    <xf numFmtId="176" fontId="2" fillId="0" borderId="0" pivotButton="0" quotePrefix="0" xfId="0"/>
    <xf numFmtId="0" fontId="2" fillId="0" borderId="0" pivotButton="0" quotePrefix="0" xfId="0"/>
    <xf numFmtId="0" fontId="5" fillId="4" borderId="2" applyAlignment="1" pivotButton="0" quotePrefix="0" xfId="0">
      <alignment horizontal="center"/>
    </xf>
    <xf numFmtId="2" fontId="6" fillId="0" borderId="3" applyAlignment="1" pivotButton="0" quotePrefix="0" xfId="0">
      <alignment horizontal="center"/>
    </xf>
    <xf numFmtId="0" fontId="5" fillId="4" borderId="4" applyAlignment="1" pivotButton="0" quotePrefix="0" xfId="0">
      <alignment horizontal="center"/>
    </xf>
    <xf numFmtId="2" fontId="6" fillId="0" borderId="5" applyAlignment="1" pivotButton="0" quotePrefix="0" xfId="0">
      <alignment horizontal="center"/>
    </xf>
    <xf numFmtId="177" fontId="0" fillId="0" borderId="0" pivotButton="0" quotePrefix="0" xfId="0"/>
    <xf numFmtId="177" fontId="0" fillId="5" borderId="0" pivotButton="0" quotePrefix="0" xfId="0"/>
    <xf numFmtId="0" fontId="7" fillId="0" borderId="0" applyAlignment="1" pivotButton="0" quotePrefix="0" xfId="0">
      <alignment vertical="center"/>
    </xf>
    <xf numFmtId="178" fontId="0" fillId="0" borderId="0" pivotButton="0" quotePrefix="0" xfId="0"/>
    <xf numFmtId="0" fontId="8" fillId="0" borderId="0" pivotButton="0" quotePrefix="0" xfId="0"/>
    <xf numFmtId="179" fontId="0" fillId="6" borderId="0" pivotButton="0" quotePrefix="0" xfId="0"/>
    <xf numFmtId="180" fontId="7" fillId="6" borderId="0" applyAlignment="1" pivotButton="0" quotePrefix="0" xfId="0">
      <alignment vertical="center"/>
    </xf>
    <xf numFmtId="181" fontId="7" fillId="6" borderId="0" applyAlignment="1" pivotButton="0" quotePrefix="0" xfId="0">
      <alignment vertical="center"/>
    </xf>
    <xf numFmtId="182" fontId="7" fillId="6" borderId="0" applyAlignment="1" pivotButton="0" quotePrefix="0" xfId="0">
      <alignment vertical="center"/>
    </xf>
    <xf numFmtId="183" fontId="7" fillId="6" borderId="0" applyAlignment="1" pivotButton="0" quotePrefix="0" xfId="0">
      <alignment vertical="center"/>
    </xf>
    <xf numFmtId="184" fontId="9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12" fillId="7" borderId="0" applyAlignment="1" pivotButton="0" quotePrefix="0" xfId="0">
      <alignment horizontal="center" vertical="center" wrapText="1"/>
    </xf>
    <xf numFmtId="185" fontId="9" fillId="0" borderId="0" pivotButton="0" quotePrefix="0" xfId="0"/>
    <xf numFmtId="181" fontId="0" fillId="0" borderId="0" pivotButton="0" quotePrefix="0" xfId="0"/>
    <xf numFmtId="0" fontId="0" fillId="7" borderId="0" pivotButton="0" quotePrefix="0" xfId="0"/>
    <xf numFmtId="180" fontId="7" fillId="0" borderId="0" applyAlignment="1" pivotButton="0" quotePrefix="0" xfId="0">
      <alignment vertical="center"/>
    </xf>
    <xf numFmtId="186" fontId="0" fillId="6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4" fillId="8" borderId="18" applyAlignment="1" pivotButton="0" quotePrefix="0" xfId="0">
      <alignment horizontal="center" vertical="center" wrapText="1"/>
    </xf>
    <xf numFmtId="0" fontId="14" fillId="8" borderId="19" applyAlignment="1" pivotButton="0" quotePrefix="0" xfId="0">
      <alignment horizontal="center" vertical="center" wrapText="1"/>
    </xf>
    <xf numFmtId="0" fontId="14" fillId="8" borderId="2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3" fillId="8" borderId="8" applyAlignment="1" pivotButton="0" quotePrefix="0" xfId="0">
      <alignment horizontal="center" vertical="center"/>
    </xf>
    <xf numFmtId="0" fontId="13" fillId="8" borderId="9" applyAlignment="1" pivotButton="0" quotePrefix="0" xfId="0">
      <alignment horizontal="center" vertical="center"/>
    </xf>
    <xf numFmtId="0" fontId="13" fillId="8" borderId="10" applyAlignment="1" pivotButton="0" quotePrefix="0" xfId="0">
      <alignment horizontal="center" vertical="center"/>
    </xf>
    <xf numFmtId="187" fontId="0" fillId="0" borderId="0" pivotButton="0" quotePrefix="0" xfId="0"/>
    <xf numFmtId="188" fontId="0" fillId="0" borderId="0" pivotButton="0" quotePrefix="0" xfId="0"/>
    <xf numFmtId="0" fontId="0" fillId="9" borderId="0" pivotButton="0" quotePrefix="0" xfId="0"/>
    <xf numFmtId="189" fontId="0" fillId="9" borderId="0" pivotButton="0" quotePrefix="0" xfId="0"/>
    <xf numFmtId="0" fontId="0" fillId="9" borderId="0" applyAlignment="1" pivotButton="0" quotePrefix="0" xfId="0">
      <alignment vertical="center" wrapText="1"/>
    </xf>
    <xf numFmtId="190" fontId="0" fillId="9" borderId="0" pivotButton="0" quotePrefix="0" xfId="0"/>
    <xf numFmtId="191" fontId="0" fillId="6" borderId="0" pivotButton="0" quotePrefix="0" xfId="0"/>
    <xf numFmtId="192" fontId="0" fillId="6" borderId="0" pivotButton="0" quotePrefix="0" xfId="0"/>
    <xf numFmtId="188" fontId="0" fillId="6" borderId="0" pivotButton="0" quotePrefix="0" xfId="0"/>
    <xf numFmtId="177" fontId="0" fillId="5" borderId="0" pivotButton="0" quotePrefix="0" xfId="0"/>
    <xf numFmtId="177" fontId="0" fillId="0" borderId="0" pivotButton="0" quotePrefix="0" xfId="0"/>
    <xf numFmtId="184" fontId="9" fillId="0" borderId="0" pivotButton="0" quotePrefix="0" xfId="0"/>
    <xf numFmtId="178" fontId="0" fillId="0" borderId="0" pivotButton="0" quotePrefix="0" xfId="0"/>
    <xf numFmtId="180" fontId="7" fillId="6" borderId="0" applyAlignment="1" pivotButton="0" quotePrefix="0" xfId="0">
      <alignment vertical="center"/>
    </xf>
    <xf numFmtId="181" fontId="7" fillId="6" borderId="0" applyAlignment="1" pivotButton="0" quotePrefix="0" xfId="0">
      <alignment vertical="center"/>
    </xf>
    <xf numFmtId="182" fontId="7" fillId="6" borderId="0" applyAlignment="1" pivotButton="0" quotePrefix="0" xfId="0">
      <alignment vertical="center"/>
    </xf>
    <xf numFmtId="183" fontId="7" fillId="6" borderId="0" applyAlignment="1" pivotButton="0" quotePrefix="0" xfId="0">
      <alignment vertical="center"/>
    </xf>
    <xf numFmtId="192" fontId="0" fillId="6" borderId="0" pivotButton="0" quotePrefix="0" xfId="0"/>
    <xf numFmtId="187" fontId="0" fillId="0" borderId="0" pivotButton="0" quotePrefix="0" xfId="0"/>
    <xf numFmtId="188" fontId="0" fillId="6" borderId="0" pivotButton="0" quotePrefix="0" xfId="0"/>
    <xf numFmtId="188" fontId="0" fillId="0" borderId="0" pivotButton="0" quotePrefix="0" xfId="0"/>
    <xf numFmtId="189" fontId="0" fillId="9" borderId="0" pivotButton="0" quotePrefix="0" xfId="0"/>
    <xf numFmtId="190" fontId="0" fillId="9" borderId="0" pivotButton="0" quotePrefix="0" xfId="0"/>
    <xf numFmtId="176" fontId="2" fillId="0" borderId="0" pivotButton="0" quotePrefix="0" xfId="0"/>
    <xf numFmtId="0" fontId="0" fillId="0" borderId="22" pivotButton="0" quotePrefix="0" xfId="0"/>
    <xf numFmtId="0" fontId="0" fillId="0" borderId="2" pivotButton="0" quotePrefix="0" xfId="0"/>
    <xf numFmtId="0" fontId="0" fillId="0" borderId="3" pivotButton="0" quotePrefix="0" xfId="0"/>
    <xf numFmtId="181" fontId="0" fillId="0" borderId="0" pivotButton="0" quotePrefix="0" xfId="0"/>
    <xf numFmtId="180" fontId="7" fillId="0" borderId="0" applyAlignment="1" pivotButton="0" quotePrefix="0" xfId="0">
      <alignment vertical="center"/>
    </xf>
    <xf numFmtId="0" fontId="13" fillId="8" borderId="2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Igor Gabriel</author>
  </authors>
  <commentList>
    <comment ref="B23" authorId="0" shapeId="0">
      <text>
        <t xml:space="preserve">Igor Gabriel:
Coeficiente convectivo externo
</t>
      </text>
    </comment>
    <comment ref="E23" authorId="0" shapeId="0">
      <text>
        <t xml:space="preserve">Igor Gabriel:
Coeficiente convectivo externo
</t>
      </text>
    </comment>
    <comment ref="B24" authorId="0" shapeId="0">
      <text>
        <t>Igor Gabriel:
Vazão mássica da água</t>
      </text>
    </comment>
    <comment ref="E24" authorId="0" shapeId="0">
      <text>
        <t>Igor Gabriel:
Vazão mássica da água</t>
      </text>
    </comment>
    <comment ref="B26" authorId="0" shapeId="0">
      <text>
        <t>Igor Gabriel:
Resistência térmica convectiva interna</t>
      </text>
    </comment>
    <comment ref="E26" authorId="0" shapeId="0">
      <text>
        <t>Igor Gabriel:
Resistência térmica convectiva interna</t>
      </text>
    </comment>
    <comment ref="B27" authorId="0" shapeId="0">
      <text>
        <t>Igor Gabriel:
Resistência térmica condutiva do tubo</t>
      </text>
    </comment>
    <comment ref="E27" authorId="0" shapeId="0">
      <text>
        <t>Igor Gabriel:
Resistência térmica condutiva do tubo</t>
      </text>
    </comment>
    <comment ref="B28" authorId="0" shapeId="0">
      <text>
        <t>Igor Gabriel:
Resistência térmica condutiva do isolante</t>
      </text>
    </comment>
    <comment ref="E28" authorId="0" shapeId="0">
      <text>
        <t>Igor Gabriel:
Resistência térmica condutiva do isolante</t>
      </text>
    </comment>
    <comment ref="B29" authorId="0" shapeId="0">
      <text>
        <t>Igor Gabriel:
Diâmetro externo tubo + isolante</t>
      </text>
    </comment>
    <comment ref="E29" authorId="0" shapeId="0">
      <text>
        <t>Igor Gabriel:
Diâmetro externo tubo + isolante</t>
      </text>
    </comment>
    <comment ref="B30" authorId="0" shapeId="0">
      <text>
        <t>Igor Gabriel:
Resistência térmica convectiva externa</t>
      </text>
    </comment>
    <comment ref="E30" authorId="0" shapeId="0">
      <text>
        <t>Igor Gabriel:
Resistência térmica convectiva externa</t>
      </text>
    </comment>
    <comment ref="B32" authorId="0" shapeId="0">
      <text>
        <t>Igor Gabriel:
Resistência térmica total</t>
      </text>
    </comment>
    <comment ref="E32" authorId="0" shapeId="0">
      <text>
        <t>Igor Gabriel:
Resistência térmica total</t>
      </text>
    </comment>
    <comment ref="B33" authorId="0" shapeId="0">
      <text>
        <t>Igor Gabriel:
Condutância térmica global</t>
      </text>
    </comment>
    <comment ref="E33" authorId="0" shapeId="0">
      <text>
        <t>Igor Gabriel:
Condutância térmica global</t>
      </text>
    </comment>
  </commentList>
</comments>
</file>

<file path=xl/comments/comment2.xml><?xml version="1.0" encoding="utf-8"?>
<comments xmlns="http://schemas.openxmlformats.org/spreadsheetml/2006/main">
  <authors>
    <author>Igor Gabriel</author>
  </authors>
  <commentList>
    <comment ref="B23" authorId="0" shapeId="0">
      <text>
        <t xml:space="preserve">Igor Gabriel:
Capacidade do solo conduzir calor.
Quanto maior, mais calor o solo consegue absorver.
</t>
      </text>
    </comment>
    <comment ref="E23" authorId="0" shapeId="0">
      <text>
        <t xml:space="preserve">Igor Gabriel:
Capacidade do solo conduzir calor.
Quanto maior, mais calor o solo consegue absorver.
</t>
      </text>
    </comment>
    <comment ref="B24" authorId="0" shapeId="0">
      <text>
        <t xml:space="preserve">Igor Gabriel:
Massa de água passando por segundo.
</t>
      </text>
    </comment>
    <comment ref="E24" authorId="0" shapeId="0">
      <text>
        <t xml:space="preserve">Igor Gabriel:
Massa de água passando por segundo.
</t>
      </text>
    </comment>
    <comment ref="B25" authorId="0" shapeId="0">
      <text>
        <t>Igor Gabriel:
Distância equivalente até onde o calor consegue se dissipar no solo.</t>
      </text>
    </comment>
    <comment ref="E25" authorId="0" shapeId="0">
      <text>
        <t>Igor Gabriel:
Distância equivalente até onde o calor consegue se dissipar no solo.</t>
      </text>
    </comment>
    <comment ref="B26" authorId="0" shapeId="0">
      <text>
        <t>Igor Gabriel:
Energia necessária para variar 1°C em 1 kg de água.</t>
      </text>
    </comment>
    <comment ref="E26" authorId="0" shapeId="0">
      <text>
        <t>Igor Gabriel:
Energia necessária para variar 1°C em 1 kg de água.</t>
      </text>
    </comment>
    <comment ref="B27" authorId="0" shapeId="0">
      <text>
        <t>Igor Gabriel:
Resistência térmica entre a água e a parede interna do tubo.</t>
      </text>
    </comment>
    <comment ref="E27" authorId="0" shapeId="0">
      <text>
        <t>Igor Gabriel:
Resistência térmica entre a água e a parede interna do tubo.</t>
      </text>
    </comment>
    <comment ref="B28" authorId="0" shapeId="0">
      <text>
        <t>Igor Gabriel:
Resistência térmica da parede do tubo CPVC.</t>
      </text>
    </comment>
    <comment ref="E28" authorId="0" shapeId="0">
      <text>
        <t>Igor Gabriel:
Resistência térmica da parede do tubo CPVC.</t>
      </text>
    </comment>
    <comment ref="B29" authorId="0" shapeId="0">
      <text>
        <t>Igor Gabriel:
Resistência térmica adicional do isolamento térmico.</t>
      </text>
    </comment>
    <comment ref="E29" authorId="0" shapeId="0">
      <text>
        <t>Igor Gabriel:
Resistência térmica adicional do isolamento térmico.</t>
      </text>
    </comment>
    <comment ref="B30" authorId="0" shapeId="0">
      <text>
        <t>Igor Gabriel:
Diâmetro externo tubo + isolante</t>
      </text>
    </comment>
    <comment ref="E30" authorId="0" shapeId="0">
      <text>
        <t>Igor Gabriel:
Diâmetro externo tubo + isolante</t>
      </text>
    </comment>
    <comment ref="B31" authorId="0" shapeId="0">
      <text>
        <t>Igor Gabriel:
Resistência térmica equivalente do solo ao redor da tubulação enterrada.</t>
      </text>
    </comment>
    <comment ref="E31" authorId="0" shapeId="0">
      <text>
        <t>Igor Gabriel:
Resistência térmica equivalente do solo ao redor da tubulação enterrada.</t>
      </text>
    </comment>
    <comment ref="B33" authorId="0" shapeId="0">
      <text>
        <t>Igor Gabriel:
Resistência térmica total</t>
      </text>
    </comment>
    <comment ref="E33" authorId="0" shapeId="0">
      <text>
        <t>Igor Gabriel:
Resistência térmica total</t>
      </text>
    </comment>
    <comment ref="B34" authorId="0" shapeId="0">
      <text>
        <t>Igor Gabriel:
Condutância térmica global</t>
      </text>
    </comment>
    <comment ref="E34" authorId="0" shapeId="0">
      <text>
        <t>Igor Gabriel:
Condutância térmica global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58"/>
  <sheetViews>
    <sheetView showGridLines="0" tabSelected="1" zoomScale="115" zoomScaleNormal="115" workbookViewId="0">
      <selection activeCell="C35" sqref="C35"/>
    </sheetView>
  </sheetViews>
  <sheetFormatPr baseColWidth="8" defaultColWidth="8.77734375" defaultRowHeight="14.4"/>
  <cols>
    <col width="3" customWidth="1" style="63" min="1" max="1"/>
    <col width="31.5546875" bestFit="1" customWidth="1" style="63" min="2" max="2"/>
    <col width="20" customWidth="1" style="63" min="3" max="3"/>
    <col width="2.21875" customWidth="1" style="63" min="4" max="4"/>
    <col width="31.5546875" bestFit="1" customWidth="1" style="63" min="5" max="5"/>
    <col width="18.6640625" customWidth="1" style="63" min="6" max="6"/>
    <col width="11.33203125" customWidth="1" style="63" min="14" max="14"/>
    <col width="14.109375" customWidth="1" style="63" min="15" max="15"/>
    <col width="7.44140625" customWidth="1" style="63" min="16" max="16"/>
  </cols>
  <sheetData>
    <row r="1">
      <c r="B1" s="62" t="inlineStr">
        <is>
          <t>Manifold</t>
        </is>
      </c>
      <c r="E1" s="62" t="inlineStr">
        <is>
          <t>Convencional</t>
        </is>
      </c>
      <c r="O1" s="1" t="n"/>
    </row>
    <row r="2">
      <c r="B2" t="inlineStr">
        <is>
          <t>Vazão</t>
        </is>
      </c>
      <c r="C2" s="2" t="n">
        <v>12</v>
      </c>
      <c r="E2" t="inlineStr">
        <is>
          <t>Vazão</t>
        </is>
      </c>
      <c r="F2" s="2">
        <f>C2</f>
        <v/>
      </c>
      <c r="J2">
        <f>C2/60</f>
        <v/>
      </c>
      <c r="M2" t="inlineStr">
        <is>
          <t>Tabela Caleffi</t>
        </is>
      </c>
    </row>
    <row r="3">
      <c r="B3" t="inlineStr">
        <is>
          <t>Pontos simultâneo</t>
        </is>
      </c>
      <c r="C3" t="n">
        <v>1</v>
      </c>
      <c r="E3" t="inlineStr">
        <is>
          <t>Pontos simultâneo</t>
        </is>
      </c>
      <c r="F3" t="n">
        <v>1</v>
      </c>
      <c r="M3" s="64" t="inlineStr">
        <is>
          <t>Diâmetro</t>
        </is>
      </c>
      <c r="N3" s="64" t="inlineStr">
        <is>
          <t>Velocidade</t>
        </is>
      </c>
      <c r="O3" s="64" t="inlineStr">
        <is>
          <t>Vazão máxima</t>
        </is>
      </c>
    </row>
    <row r="4">
      <c r="B4" t="inlineStr">
        <is>
          <t>Vazão total</t>
        </is>
      </c>
      <c r="C4" s="3">
        <f>C2*C3</f>
        <v/>
      </c>
      <c r="E4" t="inlineStr">
        <is>
          <t>Vazão total</t>
        </is>
      </c>
      <c r="F4" s="3">
        <f>F2*F3</f>
        <v/>
      </c>
      <c r="J4">
        <f>F4/60</f>
        <v/>
      </c>
      <c r="O4" t="inlineStr">
        <is>
          <t>CPVC</t>
        </is>
      </c>
      <c r="P4" t="inlineStr">
        <is>
          <t>PPR</t>
        </is>
      </c>
      <c r="Q4" t="inlineStr">
        <is>
          <t>PVC</t>
        </is>
      </c>
    </row>
    <row r="5">
      <c r="B5" t="inlineStr">
        <is>
          <t>Diâmetro CPVC</t>
        </is>
      </c>
      <c r="C5" s="4" t="n">
        <v>22</v>
      </c>
      <c r="E5" t="inlineStr">
        <is>
          <t>Diâmetro CPVC</t>
        </is>
      </c>
      <c r="F5" s="4" t="n">
        <v>35</v>
      </c>
      <c r="M5" t="inlineStr">
        <is>
          <t>½”</t>
        </is>
      </c>
      <c r="N5" t="n">
        <v>1</v>
      </c>
      <c r="O5">
        <f>(3.14*N5*(Planilha2!B5/1000)^2/4)*60000</f>
        <v/>
      </c>
    </row>
    <row r="6">
      <c r="B6" t="inlineStr">
        <is>
          <t>Diâmetro interno CPVC</t>
        </is>
      </c>
      <c r="C6" s="5">
        <f>INDEX(Planilha2!$B$5:$B$13,MATCH(C5,Planilha2!$A$5:$A$13,0))</f>
        <v/>
      </c>
      <c r="E6" t="inlineStr">
        <is>
          <t>Diâmetro interno CPVC</t>
        </is>
      </c>
      <c r="F6" s="5">
        <f>INDEX(Planilha2!$B$5:$B$13,MATCH(F5,Planilha2!$A$5:$A$13,0))</f>
        <v/>
      </c>
      <c r="J6">
        <f>F6/1000</f>
        <v/>
      </c>
      <c r="M6" t="inlineStr">
        <is>
          <t>¾”</t>
        </is>
      </c>
      <c r="N6" t="n">
        <v>1.1</v>
      </c>
      <c r="O6">
        <f>(3.14*N6*(Planilha2!B6/1000)^2/4)*60000</f>
        <v/>
      </c>
    </row>
    <row r="7">
      <c r="M7" t="inlineStr">
        <is>
          <t>1”</t>
        </is>
      </c>
      <c r="N7" t="n">
        <v>1.3</v>
      </c>
      <c r="O7">
        <f>(3.14*N7*(Planilha2!B7/1000)^2/4)*60000</f>
        <v/>
      </c>
    </row>
    <row r="8">
      <c r="M8" t="inlineStr">
        <is>
          <t>1.1/4”</t>
        </is>
      </c>
      <c r="N8" t="n">
        <v>1.6</v>
      </c>
      <c r="O8">
        <f>(3.14*N8*(Planilha2!B8/1000)^2/4)*60000</f>
        <v/>
      </c>
    </row>
    <row r="9">
      <c r="B9" t="inlineStr">
        <is>
          <t>Distância</t>
        </is>
      </c>
      <c r="C9" s="6" t="n">
        <v>20</v>
      </c>
      <c r="E9" t="inlineStr">
        <is>
          <t>Distância</t>
        </is>
      </c>
      <c r="F9" s="6">
        <f>C9</f>
        <v/>
      </c>
      <c r="M9" t="inlineStr">
        <is>
          <t>1.1/2”</t>
        </is>
      </c>
      <c r="N9" t="n">
        <v>1.8</v>
      </c>
      <c r="O9">
        <f>(3.14*N9*(Planilha2!B9/1000)^2/4)*60000</f>
        <v/>
      </c>
    </row>
    <row r="10">
      <c r="B10" t="inlineStr">
        <is>
          <t>Área</t>
        </is>
      </c>
      <c r="C10" s="7">
        <f>((C6/1000)^2*3.14)/4</f>
        <v/>
      </c>
      <c r="E10" t="inlineStr">
        <is>
          <t>Área</t>
        </is>
      </c>
      <c r="F10" s="7">
        <f>((F6/1000)^2*3.14)/4</f>
        <v/>
      </c>
      <c r="M10" t="inlineStr">
        <is>
          <t>2”</t>
        </is>
      </c>
      <c r="N10" t="n">
        <v>2</v>
      </c>
      <c r="O10">
        <f>(3.14*N10*(Planilha2!B10/1000)^2/4)*60000</f>
        <v/>
      </c>
    </row>
    <row r="11">
      <c r="B11" t="inlineStr">
        <is>
          <t>Velocidade</t>
        </is>
      </c>
      <c r="C11" s="8">
        <f>(4*(C2/60)/1000)/(3.14*(C6/1000)^2)</f>
        <v/>
      </c>
      <c r="D11" s="9" t="n"/>
      <c r="E11" t="inlineStr">
        <is>
          <t>Velocidade</t>
        </is>
      </c>
      <c r="F11" s="8">
        <f>(4*(F4/60)/1000)/(3.14*(F6/1000)^2)</f>
        <v/>
      </c>
      <c r="M11" t="inlineStr">
        <is>
          <t>2.1/2”</t>
        </is>
      </c>
      <c r="N11" t="n">
        <v>2.2</v>
      </c>
      <c r="O11">
        <f>(3.14*N11*(Planilha2!B11/1000)^2/4)*60000</f>
        <v/>
      </c>
    </row>
    <row r="12">
      <c r="B12" t="inlineStr">
        <is>
          <t>Tempo</t>
        </is>
      </c>
      <c r="C12" s="80">
        <f>(((C9/C11)/60)/60)*(1/24)</f>
        <v/>
      </c>
      <c r="D12" s="81" t="n"/>
      <c r="E12" t="inlineStr">
        <is>
          <t>Tempo</t>
        </is>
      </c>
      <c r="F12" s="80">
        <f>(((F9/F11)/60)/60)*(1/24)</f>
        <v/>
      </c>
      <c r="M12" t="inlineStr">
        <is>
          <t>3”</t>
        </is>
      </c>
      <c r="N12" t="n">
        <v>2.5</v>
      </c>
      <c r="O12">
        <f>(3.14*N12*(Planilha2!B12/1000)^2/4)*60000</f>
        <v/>
      </c>
    </row>
    <row r="13">
      <c r="B13" t="inlineStr">
        <is>
          <t>Volume</t>
        </is>
      </c>
      <c r="C13" s="10">
        <f>(C10*C9)*1000</f>
        <v/>
      </c>
      <c r="E13" t="inlineStr">
        <is>
          <t>Volume</t>
        </is>
      </c>
      <c r="F13" s="10">
        <f>(F10*F9)*1000</f>
        <v/>
      </c>
    </row>
    <row r="15">
      <c r="B15" t="inlineStr">
        <is>
          <t>Temperatura Ambiente</t>
        </is>
      </c>
      <c r="C15" s="11" t="n">
        <v>10</v>
      </c>
      <c r="E15" t="inlineStr">
        <is>
          <t>Temperatura Ambiente</t>
        </is>
      </c>
      <c r="F15" s="11">
        <f>C15</f>
        <v/>
      </c>
      <c r="J15" t="inlineStr">
        <is>
          <t>armaflex</t>
        </is>
      </c>
    </row>
    <row r="16">
      <c r="B16" t="inlineStr">
        <is>
          <t>Temperatura Final</t>
        </is>
      </c>
      <c r="C16" s="11" t="n">
        <v>45</v>
      </c>
      <c r="E16" t="inlineStr">
        <is>
          <t>Temperatura Final</t>
        </is>
      </c>
      <c r="F16" s="11">
        <f>C16</f>
        <v/>
      </c>
      <c r="J16" t="n">
        <v>6</v>
      </c>
    </row>
    <row r="17">
      <c r="B17" t="inlineStr">
        <is>
          <t>Condutividade Térmica CPVC</t>
        </is>
      </c>
      <c r="C17" s="12" t="n">
        <v>0.14</v>
      </c>
      <c r="E17" t="inlineStr">
        <is>
          <t>Condutividade Térmica CPVC</t>
        </is>
      </c>
      <c r="F17" s="12" t="n">
        <v>0.14</v>
      </c>
      <c r="J17" t="n">
        <v>10</v>
      </c>
    </row>
    <row r="18">
      <c r="B18" t="inlineStr">
        <is>
          <t>Condutividade térmica Isolante</t>
        </is>
      </c>
      <c r="C18" s="13" t="n">
        <v>0.036</v>
      </c>
      <c r="E18" t="inlineStr">
        <is>
          <t>Condutividade térmica Isolante</t>
        </is>
      </c>
      <c r="F18" s="13" t="n">
        <v>0.036</v>
      </c>
      <c r="J18" t="n">
        <v>13</v>
      </c>
    </row>
    <row r="19">
      <c r="B19" t="inlineStr">
        <is>
          <t>Espessura</t>
        </is>
      </c>
      <c r="C19" s="14" t="n">
        <v>9</v>
      </c>
      <c r="E19" t="inlineStr">
        <is>
          <t>Espessura</t>
        </is>
      </c>
      <c r="F19" s="14" t="n">
        <v>0</v>
      </c>
      <c r="J19" t="n">
        <v>19</v>
      </c>
    </row>
    <row r="20">
      <c r="B20" t="inlineStr">
        <is>
          <t>Perda de carga térmica Tubos</t>
        </is>
      </c>
      <c r="C20" s="15">
        <f>IF(C19=0,((2*3.14*(C9)*(C15-C16))/((1/C17)*(LN(C5/C6))))/1000,((2*3.14*(C9)*(C15-C16))/(((1/C17)*(LN(C5/C6))+((1/C18)*(LN((C5+2*C19)/C5)))))/1000))</f>
        <v/>
      </c>
      <c r="E20" t="inlineStr">
        <is>
          <t>Perda de carga térmica Tubos</t>
        </is>
      </c>
      <c r="F20" s="15">
        <f>IF(F19=0,((2*3.14*(F9)*(F15-F16))/((1/F17)*(LN(F5/F6))))/1000,((2*3.14*(F9)*(F15-F16))/(((1/F17)*(LN(F5/F6))+((1/F18)*(LN((F5+2*F19)/F5)))))/1000))</f>
        <v/>
      </c>
      <c r="J20" t="n">
        <v>25</v>
      </c>
    </row>
    <row r="21">
      <c r="B21" t="inlineStr">
        <is>
          <t>Perda água parada (kcal)</t>
        </is>
      </c>
      <c r="C21" s="16">
        <f>C13*(C15-C16)</f>
        <v/>
      </c>
      <c r="E21" t="inlineStr">
        <is>
          <t>Perda água parada (kcal)</t>
        </is>
      </c>
      <c r="F21" s="16">
        <f>F13*(F15-F16)</f>
        <v/>
      </c>
      <c r="J21" t="n">
        <v>32</v>
      </c>
    </row>
    <row r="22">
      <c r="J22" t="n">
        <v>50</v>
      </c>
    </row>
    <row r="23">
      <c r="B23" s="28" t="inlineStr">
        <is>
          <t>h externo</t>
        </is>
      </c>
      <c r="C23" s="82" t="n">
        <v>8</v>
      </c>
      <c r="E23" s="28" t="inlineStr">
        <is>
          <t>h externo</t>
        </is>
      </c>
      <c r="F23" s="82">
        <f>C23</f>
        <v/>
      </c>
    </row>
    <row r="24">
      <c r="B24" s="28" t="inlineStr">
        <is>
          <t>Vazão mássica</t>
        </is>
      </c>
      <c r="C24" s="29">
        <f>C4/60</f>
        <v/>
      </c>
      <c r="E24" s="28" t="inlineStr">
        <is>
          <t>Vazão mássica</t>
        </is>
      </c>
      <c r="F24" s="29">
        <f>F4/60</f>
        <v/>
      </c>
    </row>
    <row r="25">
      <c r="B25" s="28" t="inlineStr">
        <is>
          <t>Calor específico água</t>
        </is>
      </c>
      <c r="C25" s="83">
        <f>4186</f>
        <v/>
      </c>
      <c r="E25" s="28" t="inlineStr">
        <is>
          <t>Calor específico água</t>
        </is>
      </c>
      <c r="F25" s="83">
        <f>4186</f>
        <v/>
      </c>
    </row>
    <row r="26" ht="15" customHeight="1" s="63">
      <c r="B26" s="28" t="inlineStr">
        <is>
          <t>R convecção interna</t>
        </is>
      </c>
      <c r="C26" s="84">
        <f>1/(C53*2*PI()*(C6/1000/2)*C9)</f>
        <v/>
      </c>
      <c r="E26" s="28" t="inlineStr">
        <is>
          <t>R convecção interna</t>
        </is>
      </c>
      <c r="F26" s="84">
        <f>1/(F53*2*PI()*(F6/1000/2)*F9)</f>
        <v/>
      </c>
    </row>
    <row r="27" ht="15" customHeight="1" s="63">
      <c r="B27" s="28" t="inlineStr">
        <is>
          <t>R tubo CPVC</t>
        </is>
      </c>
      <c r="C27" s="84">
        <f>LN(C5/C6)/(2*PI()*C17*C9)</f>
        <v/>
      </c>
      <c r="E27" s="28" t="inlineStr">
        <is>
          <t>R tubo CPVC</t>
        </is>
      </c>
      <c r="F27" s="84">
        <f>LN(F5/F6)/(2*PI()*F17*F9)</f>
        <v/>
      </c>
    </row>
    <row r="28" ht="15" customHeight="1" s="63">
      <c r="B28" s="28" t="inlineStr">
        <is>
          <t>R isolante</t>
        </is>
      </c>
      <c r="C28" s="84">
        <f>IF(C19=0,0,LN((C5+2*C19)/C5)/(2*PI()*C18*C9))</f>
        <v/>
      </c>
      <c r="E28" s="28" t="inlineStr">
        <is>
          <t>R isolante</t>
        </is>
      </c>
      <c r="F28" s="84">
        <f>IF(F19=0,0,LN((F5+2*F19)/F5)/(2*PI()*F18*F9))</f>
        <v/>
      </c>
    </row>
    <row r="29" ht="15" customHeight="1" s="63">
      <c r="B29" s="28" t="inlineStr">
        <is>
          <t>Diâmetro externo final</t>
        </is>
      </c>
      <c r="C29" s="85">
        <f>(C5+2*C19)/1000</f>
        <v/>
      </c>
      <c r="E29" s="28" t="inlineStr">
        <is>
          <t>Diâmetro externo final</t>
        </is>
      </c>
      <c r="F29" s="85">
        <f>(F5+2*F19)/1000</f>
        <v/>
      </c>
    </row>
    <row r="30" ht="15" customHeight="1" s="63">
      <c r="B30" s="28" t="inlineStr">
        <is>
          <t>R convecção externa</t>
        </is>
      </c>
      <c r="C30" s="84">
        <f>1/(C23*PI()*C29*C9)</f>
        <v/>
      </c>
      <c r="E30" s="28" t="inlineStr">
        <is>
          <t>R convecção externa</t>
        </is>
      </c>
      <c r="F30" s="84">
        <f>1/(F23*PI()*F29*F9)</f>
        <v/>
      </c>
    </row>
    <row r="31" ht="15" customHeight="1" s="63">
      <c r="B31" s="28" t="n"/>
      <c r="C31" s="26" t="n"/>
      <c r="E31" s="28" t="n"/>
      <c r="F31" s="26" t="n"/>
    </row>
    <row r="32" ht="15" customHeight="1" s="63">
      <c r="B32" s="28" t="inlineStr">
        <is>
          <t>R total</t>
        </is>
      </c>
      <c r="C32" s="84">
        <f>C26+C27+C28+C30</f>
        <v/>
      </c>
      <c r="E32" s="28" t="inlineStr">
        <is>
          <t>R total</t>
        </is>
      </c>
      <c r="F32" s="84">
        <f>F26+F27+F28+F30</f>
        <v/>
      </c>
    </row>
    <row r="33" ht="15" customHeight="1" s="63">
      <c r="B33" s="28" t="inlineStr">
        <is>
          <t>UA</t>
        </is>
      </c>
      <c r="C33" s="86">
        <f>1/C32</f>
        <v/>
      </c>
      <c r="E33" s="28" t="inlineStr">
        <is>
          <t>UA</t>
        </is>
      </c>
      <c r="F33" s="86">
        <f>1/F32</f>
        <v/>
      </c>
    </row>
    <row r="34" ht="15" customHeight="1" s="63">
      <c r="B34" s="28" t="inlineStr">
        <is>
          <t>Perda real da água</t>
        </is>
      </c>
      <c r="C34" s="87">
        <f>(C16-C15)*(1-EXP(-C33/(C24*C25)))</f>
        <v/>
      </c>
      <c r="E34" s="28" t="inlineStr">
        <is>
          <t>Perda real da água</t>
        </is>
      </c>
      <c r="F34" s="87">
        <f>(F16-F15)*(1-EXP(-F33/(F24*F25)))</f>
        <v/>
      </c>
    </row>
    <row r="35" ht="15" customHeight="1" s="63">
      <c r="B35" s="28" t="inlineStr">
        <is>
          <t>Temperatura final real</t>
        </is>
      </c>
      <c r="C35" s="87">
        <f>C16-C34</f>
        <v/>
      </c>
      <c r="E35" s="28" t="inlineStr">
        <is>
          <t>Temperatura final real</t>
        </is>
      </c>
      <c r="F35" s="87">
        <f>F16-F34</f>
        <v/>
      </c>
    </row>
    <row r="36">
      <c r="F36" s="4" t="n"/>
    </row>
    <row r="37">
      <c r="B37" t="inlineStr">
        <is>
          <t>Capacidade térmica da água parada</t>
        </is>
      </c>
      <c r="C37" s="77">
        <f>C13*4186</f>
        <v/>
      </c>
      <c r="E37" t="inlineStr">
        <is>
          <t>Capacidade térmica da água parada</t>
        </is>
      </c>
      <c r="F37" s="77">
        <f>F13*4186</f>
        <v/>
      </c>
    </row>
    <row r="38">
      <c r="B38" t="inlineStr">
        <is>
          <t>Constante térmica τ</t>
        </is>
      </c>
      <c r="C38" s="88">
        <f>C32*C37</f>
        <v/>
      </c>
      <c r="E38" t="inlineStr">
        <is>
          <t>Constante térmica τ</t>
        </is>
      </c>
      <c r="F38" s="88">
        <f>F32*F37</f>
        <v/>
      </c>
    </row>
    <row r="39">
      <c r="B39" t="inlineStr">
        <is>
          <t>Tempo parado</t>
        </is>
      </c>
      <c r="C39" s="89" t="n">
        <v>20</v>
      </c>
      <c r="E39" t="inlineStr">
        <is>
          <t>Tempo parado</t>
        </is>
      </c>
      <c r="F39" s="89">
        <f>C39</f>
        <v/>
      </c>
    </row>
    <row r="40">
      <c r="B40" t="inlineStr">
        <is>
          <t>Temperatura após X minutos</t>
        </is>
      </c>
      <c r="C40" s="90">
        <f>C15+(C35-C15)*EXP(-(C39*60)/C38)</f>
        <v/>
      </c>
      <c r="E40" t="inlineStr">
        <is>
          <t>Temperatura após X minutos</t>
        </is>
      </c>
      <c r="F40" s="90">
        <f>F15+(F35-F15)*EXP(-(F39*60)/F38)</f>
        <v/>
      </c>
    </row>
    <row r="41">
      <c r="C41" s="91" t="n"/>
      <c r="F41" s="91" t="n"/>
    </row>
    <row r="42">
      <c r="B42" s="73" t="inlineStr">
        <is>
          <t>Temperatura alvo (teste)</t>
        </is>
      </c>
      <c r="C42" s="92" t="n">
        <v>35</v>
      </c>
      <c r="E42" s="73" t="inlineStr">
        <is>
          <t>Temperatura alvo (teste)</t>
        </is>
      </c>
      <c r="F42" s="92" t="n">
        <v>35</v>
      </c>
    </row>
    <row r="43">
      <c r="B43" s="75" t="inlineStr">
        <is>
          <t>Tempo p/ chegar na temp. alvo</t>
        </is>
      </c>
      <c r="C43" s="93">
        <f>-C38*LN((C42-C15)/(C16-C15))/60</f>
        <v/>
      </c>
      <c r="E43" s="75" t="inlineStr">
        <is>
          <t>Tempo p/ chegar na temp. alvo</t>
        </is>
      </c>
      <c r="F43" s="93">
        <f>-F38*LN((F42-F15)/(F16-F15))/60</f>
        <v/>
      </c>
    </row>
    <row r="44">
      <c r="F44" s="4" t="n"/>
    </row>
    <row r="45">
      <c r="F45" s="4" t="n"/>
    </row>
    <row r="46">
      <c r="F46" s="4" t="n"/>
    </row>
    <row r="47">
      <c r="F47" s="4" t="n"/>
    </row>
    <row r="48">
      <c r="F48" s="4" t="n"/>
    </row>
    <row r="49">
      <c r="B49" t="inlineStr">
        <is>
          <t>Visc. cinemática</t>
        </is>
      </c>
      <c r="C49" t="n">
        <v>8e-07</v>
      </c>
      <c r="E49" t="inlineStr">
        <is>
          <t>Visc. cinemática</t>
        </is>
      </c>
      <c r="F49" t="n">
        <v>8e-07</v>
      </c>
    </row>
    <row r="50">
      <c r="B50" t="inlineStr">
        <is>
          <t>Reynolds</t>
        </is>
      </c>
      <c r="C50">
        <f>(C6/1000)*C11/C49</f>
        <v/>
      </c>
      <c r="E50" t="inlineStr">
        <is>
          <t>Reynolds</t>
        </is>
      </c>
      <c r="F50">
        <f>(F6/1000)*F11/F49</f>
        <v/>
      </c>
    </row>
    <row r="51">
      <c r="B51" s="17" t="inlineStr">
        <is>
          <t>Nu</t>
        </is>
      </c>
      <c r="C51" s="94">
        <f>0.023*(C50^0.8)*(4.6^0.3)</f>
        <v/>
      </c>
      <c r="E51" s="17" t="inlineStr">
        <is>
          <t>Nu</t>
        </is>
      </c>
      <c r="F51" s="94">
        <f>0.023*(F50^0.8)*(4.6^0.3)</f>
        <v/>
      </c>
      <c r="J51" t="inlineStr">
        <is>
          <t>Comprimento x pontos</t>
        </is>
      </c>
    </row>
    <row r="52" ht="28.8" customHeight="1" s="63">
      <c r="B52" s="17" t="inlineStr">
        <is>
          <t xml:space="preserve"> k = a condutividade térmica do fluido </t>
        </is>
      </c>
      <c r="C52" s="19" t="n">
        <v>0.598</v>
      </c>
      <c r="E52" s="17" t="inlineStr">
        <is>
          <t xml:space="preserve"> k = a condutividade térmica do fluido </t>
        </is>
      </c>
      <c r="F52" s="19" t="n">
        <v>0.598</v>
      </c>
      <c r="K52" t="inlineStr">
        <is>
          <t>Manifold</t>
        </is>
      </c>
      <c r="L52" t="inlineStr">
        <is>
          <t>Ramificado</t>
        </is>
      </c>
    </row>
    <row r="53">
      <c r="B53" t="inlineStr">
        <is>
          <t>H</t>
        </is>
      </c>
      <c r="C53">
        <f>C52*C51/(C6/1000)</f>
        <v/>
      </c>
      <c r="E53" t="inlineStr">
        <is>
          <t>H</t>
        </is>
      </c>
      <c r="F53">
        <f>F52*F51/(F6/1000)</f>
        <v/>
      </c>
      <c r="J53" t="n">
        <v>1</v>
      </c>
      <c r="K53">
        <f>23.6+5.9</f>
        <v/>
      </c>
      <c r="L53">
        <f>23.6+3.9</f>
        <v/>
      </c>
    </row>
    <row r="54">
      <c r="J54" t="n">
        <v>2</v>
      </c>
      <c r="K54">
        <f>K53+20.94+5.9</f>
        <v/>
      </c>
      <c r="L54">
        <f>L53+4.1</f>
        <v/>
      </c>
    </row>
    <row r="55">
      <c r="J55" t="n">
        <v>3</v>
      </c>
      <c r="K55">
        <f>K54+5.9+17.4</f>
        <v/>
      </c>
      <c r="L55">
        <f>L54+5</f>
        <v/>
      </c>
    </row>
    <row r="56">
      <c r="J56" t="n">
        <v>4</v>
      </c>
      <c r="K56">
        <f>K55+17.3+5.9</f>
        <v/>
      </c>
      <c r="L56">
        <f>L55+5</f>
        <v/>
      </c>
    </row>
    <row r="57">
      <c r="G57" t="n">
        <v>8</v>
      </c>
      <c r="H57" t="n">
        <v>1.3</v>
      </c>
      <c r="J57" t="n">
        <v>5</v>
      </c>
      <c r="K57">
        <f>K56+11.4+3.8+10.7</f>
        <v/>
      </c>
      <c r="L57">
        <f>L56+9.3+3.8+0.95</f>
        <v/>
      </c>
    </row>
    <row r="58">
      <c r="G58" t="n">
        <v>3</v>
      </c>
      <c r="H58" t="n">
        <v>3</v>
      </c>
      <c r="J58" t="n">
        <v>6</v>
      </c>
      <c r="K58">
        <f>K57+10.4+11+0.7</f>
        <v/>
      </c>
      <c r="L58">
        <f>L57+2</f>
        <v/>
      </c>
    </row>
  </sheetData>
  <mergeCells count="6">
    <mergeCell ref="M2:Q2"/>
    <mergeCell ref="E1:F1"/>
    <mergeCell ref="M3:M4"/>
    <mergeCell ref="N3:N4"/>
    <mergeCell ref="B1:C1"/>
    <mergeCell ref="O3:Q3"/>
  </mergeCells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="160" zoomScaleNormal="160" workbookViewId="0">
      <selection activeCell="A7" sqref="A7:B8"/>
    </sheetView>
  </sheetViews>
  <sheetFormatPr baseColWidth="8" defaultColWidth="8.77734375" defaultRowHeight="14.4"/>
  <cols>
    <col width="19.44140625" customWidth="1" style="63" min="1" max="1"/>
    <col width="20.6640625" customWidth="1" style="63" min="2" max="2"/>
  </cols>
  <sheetData>
    <row r="1" ht="19.35" customHeight="1" s="63">
      <c r="A1" s="65" t="inlineStr">
        <is>
          <t>Diâmetro interno CPVC</t>
        </is>
      </c>
      <c r="B1" s="95" t="n"/>
    </row>
    <row r="2" ht="14.25" customHeight="1" s="63">
      <c r="A2" s="66" t="inlineStr">
        <is>
          <t>Diâmetro Comercial</t>
        </is>
      </c>
      <c r="B2" s="67" t="inlineStr">
        <is>
          <t>Diâmetro interno</t>
        </is>
      </c>
    </row>
    <row r="3">
      <c r="A3" s="96" t="n"/>
      <c r="B3" s="97" t="n"/>
    </row>
    <row r="4">
      <c r="A4" s="96" t="n"/>
      <c r="B4" s="97" t="n"/>
    </row>
    <row r="5">
      <c r="A5" s="20" t="n">
        <v>15</v>
      </c>
      <c r="B5" s="21">
        <f>A5-1.6-1.6</f>
        <v/>
      </c>
    </row>
    <row r="6">
      <c r="A6" s="20" t="n">
        <v>22</v>
      </c>
      <c r="B6" s="21">
        <f>A6-2.2-2.2</f>
        <v/>
      </c>
    </row>
    <row r="7">
      <c r="A7" s="20" t="n">
        <v>28</v>
      </c>
      <c r="B7" s="21">
        <f>A7-2.7-2.7</f>
        <v/>
      </c>
    </row>
    <row r="8">
      <c r="A8" s="20" t="n">
        <v>35</v>
      </c>
      <c r="B8" s="21">
        <f>A8-3.2-3.2</f>
        <v/>
      </c>
    </row>
    <row r="9">
      <c r="A9" s="20" t="n">
        <v>42</v>
      </c>
      <c r="B9" s="21">
        <f>A9-3.8-3.8</f>
        <v/>
      </c>
    </row>
    <row r="10">
      <c r="A10" s="20" t="n">
        <v>54</v>
      </c>
      <c r="B10" s="21">
        <f>A10-4.9-4.9</f>
        <v/>
      </c>
    </row>
    <row r="11">
      <c r="A11" s="20" t="n">
        <v>73</v>
      </c>
      <c r="B11" s="21">
        <f>A11-6.9-6.9</f>
        <v/>
      </c>
    </row>
    <row r="12">
      <c r="A12" s="20" t="n">
        <v>89</v>
      </c>
      <c r="B12" s="21">
        <f>A12-8.5-8.5</f>
        <v/>
      </c>
    </row>
    <row r="13">
      <c r="A13" s="22" t="n">
        <v>114</v>
      </c>
      <c r="B13" s="23">
        <f>A13-10.4-10.4</f>
        <v/>
      </c>
    </row>
  </sheetData>
  <mergeCells count="3">
    <mergeCell ref="A2:A4"/>
    <mergeCell ref="A1:B1"/>
    <mergeCell ref="B2:B4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2" sqref="A2:B4"/>
    </sheetView>
  </sheetViews>
  <sheetFormatPr baseColWidth="8" defaultRowHeight="14.4"/>
  <cols>
    <col width="21.33203125" customWidth="1" style="63" min="1" max="1"/>
    <col width="10.21875" customWidth="1" style="63" min="2" max="2"/>
  </cols>
  <sheetData>
    <row r="1" ht="33.6" customHeight="1" s="63">
      <c r="A1" s="38" t="inlineStr">
        <is>
          <t>Ambiente</t>
        </is>
      </c>
      <c r="B1" s="38" t="inlineStr">
        <is>
          <t>h externo (W/m²·K)</t>
        </is>
      </c>
    </row>
    <row r="2">
      <c r="A2" s="36" t="inlineStr">
        <is>
          <t>Ambiente interno parado</t>
        </is>
      </c>
      <c r="B2" s="35" t="n">
        <v>3</v>
      </c>
    </row>
    <row r="3">
      <c r="A3" s="36" t="inlineStr">
        <is>
          <t>Forro</t>
        </is>
      </c>
      <c r="B3" s="35" t="n">
        <v>5</v>
      </c>
    </row>
    <row r="4">
      <c r="A4" s="36" t="inlineStr">
        <is>
          <t>Shaft técnico</t>
        </is>
      </c>
      <c r="B4" s="35" t="n">
        <v>7</v>
      </c>
    </row>
    <row r="5">
      <c r="A5" s="36" t="inlineStr">
        <is>
          <t>Embutido em parede</t>
        </is>
      </c>
      <c r="B5" s="35" t="n">
        <v>4</v>
      </c>
    </row>
    <row r="6">
      <c r="A6" s="36" t="inlineStr">
        <is>
          <t>Ar livre sem vento</t>
        </is>
      </c>
      <c r="B6" s="35" t="n">
        <v>12</v>
      </c>
    </row>
    <row r="7">
      <c r="A7" s="36" t="inlineStr">
        <is>
          <t>Ar livre moderado</t>
        </is>
      </c>
      <c r="B7" s="35" t="n">
        <v>20</v>
      </c>
    </row>
    <row r="8">
      <c r="A8" s="36" t="inlineStr">
        <is>
          <t>Ar livre vento forte</t>
        </is>
      </c>
      <c r="B8" s="35" t="n">
        <v>35</v>
      </c>
    </row>
    <row r="9">
      <c r="B9" s="37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1"/>
  <sheetViews>
    <sheetView zoomScale="115" zoomScaleNormal="115" workbookViewId="0">
      <selection activeCell="F3" activeCellId="1" sqref="C3 F3"/>
    </sheetView>
  </sheetViews>
  <sheetFormatPr baseColWidth="8" defaultColWidth="8.77734375" defaultRowHeight="14.4"/>
  <cols>
    <col width="3" customWidth="1" style="63" min="1" max="1"/>
    <col width="27.21875" customWidth="1" style="63" min="2" max="2"/>
    <col width="20" customWidth="1" style="63" min="3" max="3"/>
    <col width="2.21875" customWidth="1" style="63" min="4" max="4"/>
    <col width="27.5546875" customWidth="1" style="63" min="5" max="5"/>
    <col width="18.6640625" customWidth="1" style="63" min="6" max="6"/>
    <col width="11.33203125" customWidth="1" style="63" min="14" max="14"/>
    <col width="14.109375" customWidth="1" style="63" min="15" max="15"/>
    <col width="7.44140625" customWidth="1" style="63" min="16" max="16"/>
  </cols>
  <sheetData>
    <row r="1">
      <c r="B1" s="62" t="inlineStr">
        <is>
          <t>Manifold</t>
        </is>
      </c>
      <c r="E1" s="62" t="inlineStr">
        <is>
          <t>Convencional</t>
        </is>
      </c>
      <c r="O1" s="1" t="n"/>
    </row>
    <row r="2">
      <c r="B2" t="inlineStr">
        <is>
          <t>Vazão</t>
        </is>
      </c>
      <c r="C2" s="2" t="n">
        <v>12</v>
      </c>
      <c r="E2" t="inlineStr">
        <is>
          <t>Vazão</t>
        </is>
      </c>
      <c r="F2" s="2">
        <f>C2</f>
        <v/>
      </c>
      <c r="J2">
        <f>C2/60</f>
        <v/>
      </c>
      <c r="M2" t="inlineStr">
        <is>
          <t>Tabela Caleffi</t>
        </is>
      </c>
    </row>
    <row r="3">
      <c r="B3" t="inlineStr">
        <is>
          <t>Pontos simultâneo</t>
        </is>
      </c>
      <c r="C3" t="n">
        <v>1</v>
      </c>
      <c r="E3" t="inlineStr">
        <is>
          <t>Pontos simultâneo</t>
        </is>
      </c>
      <c r="F3">
        <f>C3</f>
        <v/>
      </c>
      <c r="M3" s="64" t="inlineStr">
        <is>
          <t>Diâmetro</t>
        </is>
      </c>
      <c r="N3" s="64" t="inlineStr">
        <is>
          <t>Velocidade</t>
        </is>
      </c>
      <c r="O3" s="64" t="inlineStr">
        <is>
          <t>Vazão máxima</t>
        </is>
      </c>
    </row>
    <row r="4">
      <c r="B4" t="inlineStr">
        <is>
          <t>Vazão total</t>
        </is>
      </c>
      <c r="C4" s="3">
        <f>C2*C3</f>
        <v/>
      </c>
      <c r="E4" t="inlineStr">
        <is>
          <t>Vazão total</t>
        </is>
      </c>
      <c r="F4" s="3">
        <f>F2*F3</f>
        <v/>
      </c>
      <c r="J4">
        <f>F4/60</f>
        <v/>
      </c>
      <c r="O4" t="inlineStr">
        <is>
          <t>CPVC</t>
        </is>
      </c>
      <c r="P4" t="inlineStr">
        <is>
          <t>PPR</t>
        </is>
      </c>
      <c r="Q4" t="inlineStr">
        <is>
          <t>PVC</t>
        </is>
      </c>
    </row>
    <row r="5">
      <c r="B5" t="inlineStr">
        <is>
          <t>Diâmetro CPVC</t>
        </is>
      </c>
      <c r="C5" s="4" t="n">
        <v>22</v>
      </c>
      <c r="E5" t="inlineStr">
        <is>
          <t>Diâmetro CPVC</t>
        </is>
      </c>
      <c r="F5" s="4" t="n">
        <v>42</v>
      </c>
      <c r="M5" t="inlineStr">
        <is>
          <t>½”</t>
        </is>
      </c>
      <c r="N5" t="n">
        <v>1</v>
      </c>
      <c r="O5">
        <f>(3.14*N5*(Planilha2!B5/1000)^2/4)*60000</f>
        <v/>
      </c>
    </row>
    <row r="6">
      <c r="B6" t="inlineStr">
        <is>
          <t>Diâmetro interno CPVC</t>
        </is>
      </c>
      <c r="C6" s="5">
        <f>INDEX(Planilha2!$B$5:$B$13,MATCH(C5,Planilha2!$A$5:$A$13,0))</f>
        <v/>
      </c>
      <c r="E6" t="inlineStr">
        <is>
          <t>Diâmetro interno CPVC</t>
        </is>
      </c>
      <c r="F6" s="5">
        <f>INDEX(Planilha2!$B$5:$B$13,MATCH(F5,Planilha2!$A$5:$A$13,0))</f>
        <v/>
      </c>
      <c r="J6">
        <f>F6/1000</f>
        <v/>
      </c>
      <c r="M6" t="inlineStr">
        <is>
          <t>¾”</t>
        </is>
      </c>
      <c r="N6" t="n">
        <v>1.1</v>
      </c>
      <c r="O6">
        <f>(3.14*N6*(Planilha2!B6/1000)^2/4)*60000</f>
        <v/>
      </c>
    </row>
    <row r="7">
      <c r="M7" t="inlineStr">
        <is>
          <t>1”</t>
        </is>
      </c>
      <c r="N7" t="n">
        <v>1.3</v>
      </c>
      <c r="O7">
        <f>(3.14*N7*(Planilha2!B7/1000)^2/4)*60000</f>
        <v/>
      </c>
    </row>
    <row r="8">
      <c r="M8" t="inlineStr">
        <is>
          <t>1.1/4”</t>
        </is>
      </c>
      <c r="N8" t="n">
        <v>1.6</v>
      </c>
      <c r="O8">
        <f>(3.14*N8*(Planilha2!B8/1000)^2/4)*60000</f>
        <v/>
      </c>
    </row>
    <row r="9">
      <c r="B9" t="inlineStr">
        <is>
          <t>Distância</t>
        </is>
      </c>
      <c r="C9" s="6" t="n">
        <v>20</v>
      </c>
      <c r="E9" t="inlineStr">
        <is>
          <t>Distância</t>
        </is>
      </c>
      <c r="F9" s="6">
        <f>C9</f>
        <v/>
      </c>
      <c r="M9" t="inlineStr">
        <is>
          <t>1.1/2”</t>
        </is>
      </c>
      <c r="N9" t="n">
        <v>1.8</v>
      </c>
      <c r="O9">
        <f>(3.14*N9*(Planilha2!B9/1000)^2/4)*60000</f>
        <v/>
      </c>
    </row>
    <row r="10">
      <c r="B10" t="inlineStr">
        <is>
          <t>Área</t>
        </is>
      </c>
      <c r="C10" s="7">
        <f>((C6/1000)^2*3.14)/4</f>
        <v/>
      </c>
      <c r="E10" t="inlineStr">
        <is>
          <t>Área</t>
        </is>
      </c>
      <c r="F10" s="7">
        <f>((F6/1000)^2*3.14)/4</f>
        <v/>
      </c>
      <c r="M10" t="inlineStr">
        <is>
          <t>2”</t>
        </is>
      </c>
      <c r="N10" t="n">
        <v>2</v>
      </c>
      <c r="O10">
        <f>(3.14*N10*(Planilha2!B10/1000)^2/4)*60000</f>
        <v/>
      </c>
    </row>
    <row r="11">
      <c r="B11" t="inlineStr">
        <is>
          <t>Velocidade</t>
        </is>
      </c>
      <c r="C11" s="8">
        <f>(4*(C2/60)/1000)/(3.14*(C6/1000)^2)</f>
        <v/>
      </c>
      <c r="D11" s="9" t="n"/>
      <c r="E11" t="inlineStr">
        <is>
          <t>Velocidade</t>
        </is>
      </c>
      <c r="F11" s="8">
        <f>(4*(F4/60)/1000)/(3.14*(F6/1000)^2)</f>
        <v/>
      </c>
      <c r="M11" t="inlineStr">
        <is>
          <t>2.1/2”</t>
        </is>
      </c>
      <c r="N11" t="n">
        <v>2.2</v>
      </c>
      <c r="O11">
        <f>(3.14*N11*(Planilha2!B11/1000)^2/4)*60000</f>
        <v/>
      </c>
    </row>
    <row r="12">
      <c r="B12" t="inlineStr">
        <is>
          <t>Tempo</t>
        </is>
      </c>
      <c r="C12" s="80">
        <f>(((C9/C11)/60)/60)*(1/24)</f>
        <v/>
      </c>
      <c r="D12" s="81" t="n"/>
      <c r="E12" t="inlineStr">
        <is>
          <t>Tempo</t>
        </is>
      </c>
      <c r="F12" s="80">
        <f>(((F9/F11)/60)/60)*(1/24)</f>
        <v/>
      </c>
      <c r="M12" t="inlineStr">
        <is>
          <t>3”</t>
        </is>
      </c>
      <c r="N12" t="n">
        <v>2.5</v>
      </c>
      <c r="O12">
        <f>(3.14*N12*(Planilha2!B12/1000)^2/4)*60000</f>
        <v/>
      </c>
    </row>
    <row r="13">
      <c r="B13" t="inlineStr">
        <is>
          <t>Volume</t>
        </is>
      </c>
      <c r="C13" s="10">
        <f>(C10*C9)*1000</f>
        <v/>
      </c>
      <c r="E13" t="inlineStr">
        <is>
          <t>Volume</t>
        </is>
      </c>
      <c r="F13" s="10">
        <f>(F10*F9)*1000</f>
        <v/>
      </c>
    </row>
    <row r="15">
      <c r="B15" t="inlineStr">
        <is>
          <t>Temperatura Ambiente</t>
        </is>
      </c>
      <c r="C15" s="11" t="n">
        <v>10</v>
      </c>
      <c r="E15" t="inlineStr">
        <is>
          <t>Temperatura Ambiente</t>
        </is>
      </c>
      <c r="F15" s="11">
        <f>C15</f>
        <v/>
      </c>
      <c r="J15" t="inlineStr">
        <is>
          <t>armaflex</t>
        </is>
      </c>
    </row>
    <row r="16">
      <c r="B16" t="inlineStr">
        <is>
          <t>Temperatura Final</t>
        </is>
      </c>
      <c r="C16" s="11" t="n">
        <v>45</v>
      </c>
      <c r="E16" t="inlineStr">
        <is>
          <t>Temperatura Final</t>
        </is>
      </c>
      <c r="F16" s="11">
        <f>C16</f>
        <v/>
      </c>
      <c r="J16" t="n">
        <v>6</v>
      </c>
    </row>
    <row r="17">
      <c r="B17" t="inlineStr">
        <is>
          <t>Condutividade Térmica CPVC</t>
        </is>
      </c>
      <c r="C17" s="12" t="n">
        <v>0.14</v>
      </c>
      <c r="E17" t="inlineStr">
        <is>
          <t>Condutividade Térmica CPVC</t>
        </is>
      </c>
      <c r="F17" s="12" t="n">
        <v>0.14</v>
      </c>
      <c r="J17" t="n">
        <v>10</v>
      </c>
    </row>
    <row r="18">
      <c r="B18" t="inlineStr">
        <is>
          <t>Condutividade térmica Isolante</t>
        </is>
      </c>
      <c r="C18" s="13" t="n">
        <v>0.036</v>
      </c>
      <c r="E18" t="inlineStr">
        <is>
          <t>Condutividade térmica Isolante</t>
        </is>
      </c>
      <c r="F18" s="13" t="n">
        <v>0.036</v>
      </c>
      <c r="J18" t="n">
        <v>13</v>
      </c>
    </row>
    <row r="19">
      <c r="B19" t="inlineStr">
        <is>
          <t>Espessura</t>
        </is>
      </c>
      <c r="C19" s="14" t="n">
        <v>0</v>
      </c>
      <c r="E19" t="inlineStr">
        <is>
          <t>Espessura</t>
        </is>
      </c>
      <c r="F19" s="14" t="n">
        <v>0</v>
      </c>
      <c r="J19" t="n">
        <v>19</v>
      </c>
    </row>
    <row r="20">
      <c r="B20" t="inlineStr">
        <is>
          <t>Perda de carga térmica Tubos</t>
        </is>
      </c>
      <c r="C20" s="15">
        <f>IF(C19=0,((2*3.14*(C9)*(C15-C16))/((1/C17)*(LN(C5/C6))))/1000,((2*3.14*(C9)*(C15-C16))/(((1/C17)*(LN(C5/C6))+((1/C18)*(LN((C5+2*C19)/C5)))))/1000))</f>
        <v/>
      </c>
      <c r="E20" t="inlineStr">
        <is>
          <t>Perda de carga térmica Tubos</t>
        </is>
      </c>
      <c r="F20" s="15">
        <f>IF(F19=0,((2*3.14*(F9)*(F15-F16))/((1/F17)*(LN(F5/F6))))/1000,((2*3.14*(F9)*(F15-F16))/(((1/F17)*(LN(F5/F6))+((1/F18)*(LN((F5+2*F19)/F5)))))/1000))</f>
        <v/>
      </c>
      <c r="J20" t="n">
        <v>25</v>
      </c>
    </row>
    <row r="21">
      <c r="B21" t="inlineStr">
        <is>
          <t>Perda água parada (kcal)</t>
        </is>
      </c>
      <c r="C21" s="16">
        <f>C13*(C15-C16)</f>
        <v/>
      </c>
      <c r="E21" t="inlineStr">
        <is>
          <t>Perda água parada (kcal)</t>
        </is>
      </c>
      <c r="F21" s="16">
        <f>F13*(F15-F16)</f>
        <v/>
      </c>
      <c r="J21" t="n">
        <v>32</v>
      </c>
    </row>
    <row r="22">
      <c r="J22" t="n">
        <v>50</v>
      </c>
    </row>
    <row r="23">
      <c r="B23" s="28" t="inlineStr">
        <is>
          <t>Condutividade solo</t>
        </is>
      </c>
      <c r="C23" s="39" t="n">
        <v>1.5</v>
      </c>
      <c r="E23" s="28" t="inlineStr">
        <is>
          <t>Condutividade solo</t>
        </is>
      </c>
      <c r="F23" s="39">
        <f>C23</f>
        <v/>
      </c>
    </row>
    <row r="24">
      <c r="B24" s="28" t="inlineStr">
        <is>
          <t>Vazão mássica</t>
        </is>
      </c>
      <c r="C24" s="29">
        <f>C4/60</f>
        <v/>
      </c>
      <c r="E24" s="28" t="inlineStr">
        <is>
          <t>Vazão mássica</t>
        </is>
      </c>
      <c r="F24" s="29">
        <f>F4/60</f>
        <v/>
      </c>
    </row>
    <row r="25">
      <c r="B25" s="28" t="inlineStr">
        <is>
          <t>Raio influência solo</t>
        </is>
      </c>
      <c r="C25" s="98" t="n">
        <v>0.5</v>
      </c>
      <c r="E25" s="28" t="inlineStr">
        <is>
          <t>Raio influência solo</t>
        </is>
      </c>
      <c r="F25" s="98">
        <f>C25</f>
        <v/>
      </c>
    </row>
    <row r="26">
      <c r="B26" t="inlineStr">
        <is>
          <t>Calor específico água</t>
        </is>
      </c>
      <c r="C26" s="43" t="n">
        <v>4186</v>
      </c>
      <c r="E26" t="inlineStr">
        <is>
          <t>Calor específico água</t>
        </is>
      </c>
      <c r="F26" s="43" t="n">
        <v>4186</v>
      </c>
    </row>
    <row r="27" ht="15" customHeight="1" s="63">
      <c r="A27" s="41" t="n"/>
      <c r="B27" s="28" t="inlineStr">
        <is>
          <t>R convecção interna</t>
        </is>
      </c>
      <c r="C27" s="84">
        <f>1/(C56*2*PI()*(C6/1000/2)*C9)</f>
        <v/>
      </c>
      <c r="E27" s="28" t="inlineStr">
        <is>
          <t>R convecção interna</t>
        </is>
      </c>
      <c r="F27" s="84">
        <f>1/(F56*2*PI()*(F6/1000/2)*F9)</f>
        <v/>
      </c>
    </row>
    <row r="28" ht="15" customHeight="1" s="63">
      <c r="A28" s="41" t="n"/>
      <c r="B28" s="28" t="inlineStr">
        <is>
          <t>R tubo CPVC</t>
        </is>
      </c>
      <c r="C28" s="84">
        <f>LN(C5/C6)/(2*PI()*C17*C9)</f>
        <v/>
      </c>
      <c r="E28" s="28" t="inlineStr">
        <is>
          <t>R tubo CPVC</t>
        </is>
      </c>
      <c r="F28" s="84">
        <f>LN(F5/F6)/(2*PI()*F17*F9)</f>
        <v/>
      </c>
    </row>
    <row r="29" ht="15" customHeight="1" s="63">
      <c r="A29" s="41" t="n"/>
      <c r="B29" s="28" t="inlineStr">
        <is>
          <t>R isolante</t>
        </is>
      </c>
      <c r="C29" s="84">
        <f>IF(C19=0,0,LN((C5+2*C19)/C5)/(2*PI()*C18*C9))</f>
        <v/>
      </c>
      <c r="E29" s="28" t="inlineStr">
        <is>
          <t>R isolante</t>
        </is>
      </c>
      <c r="F29" s="84">
        <f>IF(F19=0,0,LN((F5+2*F19)/F5)/(2*PI()*F18*F9))</f>
        <v/>
      </c>
    </row>
    <row r="30" ht="15" customHeight="1" s="63">
      <c r="B30" s="28" t="inlineStr">
        <is>
          <t>Diâmetro externo final</t>
        </is>
      </c>
      <c r="C30" s="85">
        <f>(C5+2*C19)/1000</f>
        <v/>
      </c>
      <c r="E30" s="28" t="inlineStr">
        <is>
          <t>Diâmetro externo final</t>
        </is>
      </c>
      <c r="F30" s="85">
        <f>(F5+2*F19)/1000</f>
        <v/>
      </c>
    </row>
    <row r="31" ht="15" customHeight="1" s="63">
      <c r="B31" s="28" t="inlineStr">
        <is>
          <t>R solo</t>
        </is>
      </c>
      <c r="C31" s="84">
        <f>LN(C25/(C30/2))/(2*PI()*C23*C9)</f>
        <v/>
      </c>
      <c r="E31" s="28" t="inlineStr">
        <is>
          <t>R solo</t>
        </is>
      </c>
      <c r="F31" s="84">
        <f>LN(F25/(F30/2))/(2*PI()*F23*F9)</f>
        <v/>
      </c>
    </row>
    <row r="32" ht="15" customHeight="1" s="63">
      <c r="B32" s="28" t="n"/>
      <c r="C32" s="99" t="n"/>
      <c r="E32" s="28" t="n"/>
      <c r="F32" s="99" t="n"/>
    </row>
    <row r="33" ht="15" customHeight="1" s="63">
      <c r="B33" s="28" t="inlineStr">
        <is>
          <t>R total</t>
        </is>
      </c>
      <c r="C33" s="84">
        <f>C27+C28+C29+C31</f>
        <v/>
      </c>
      <c r="E33" s="28" t="inlineStr">
        <is>
          <t>R total</t>
        </is>
      </c>
      <c r="F33" s="84">
        <f>F27+F28+F29+F31</f>
        <v/>
      </c>
    </row>
    <row r="34" ht="15" customHeight="1" s="63">
      <c r="B34" s="28" t="inlineStr">
        <is>
          <t>UA</t>
        </is>
      </c>
      <c r="C34" s="86">
        <f>1/C33</f>
        <v/>
      </c>
      <c r="E34" s="28" t="inlineStr">
        <is>
          <t>UA</t>
        </is>
      </c>
      <c r="F34" s="86">
        <f>1/F33</f>
        <v/>
      </c>
    </row>
    <row r="35" ht="15" customHeight="1" s="63">
      <c r="B35" s="28" t="inlineStr">
        <is>
          <t>Perda real da água</t>
        </is>
      </c>
      <c r="C35" s="87">
        <f>(C16-C15)*(1-EXP(-C34/(C24*C26)))</f>
        <v/>
      </c>
      <c r="E35" s="28" t="inlineStr">
        <is>
          <t>Perda real da água</t>
        </is>
      </c>
      <c r="F35" s="87">
        <f>(F16-F15)*(1-EXP(-F34/(F24*F26)))</f>
        <v/>
      </c>
    </row>
    <row r="36" ht="15" customHeight="1" s="63">
      <c r="B36" s="28" t="inlineStr">
        <is>
          <t>Temperatura final real</t>
        </is>
      </c>
      <c r="C36" s="87">
        <f>C16-C35</f>
        <v/>
      </c>
      <c r="E36" s="28" t="inlineStr">
        <is>
          <t>Temperatura final real</t>
        </is>
      </c>
      <c r="F36" s="87">
        <f>F16-F35</f>
        <v/>
      </c>
    </row>
    <row r="37">
      <c r="F37" s="4" t="n"/>
    </row>
    <row r="38">
      <c r="B38" t="inlineStr">
        <is>
          <t>Capacidade térmica da água parada</t>
        </is>
      </c>
      <c r="C38" s="77">
        <f>C13*4186</f>
        <v/>
      </c>
      <c r="E38" t="inlineStr">
        <is>
          <t>Capacidade térmica da água parada</t>
        </is>
      </c>
      <c r="F38" s="77">
        <f>F13*4186</f>
        <v/>
      </c>
    </row>
    <row r="39">
      <c r="B39" t="inlineStr">
        <is>
          <t>Constante térmica τ</t>
        </is>
      </c>
      <c r="C39" s="88">
        <f>C33*C38</f>
        <v/>
      </c>
      <c r="E39" t="inlineStr">
        <is>
          <t>Constante térmica τ</t>
        </is>
      </c>
      <c r="F39" s="88">
        <f>F33*F38</f>
        <v/>
      </c>
    </row>
    <row r="40">
      <c r="B40" t="inlineStr">
        <is>
          <t>Tempo parado</t>
        </is>
      </c>
      <c r="C40" s="89" t="n">
        <v>20</v>
      </c>
      <c r="E40" t="inlineStr">
        <is>
          <t>Tempo parado</t>
        </is>
      </c>
      <c r="F40" s="89" t="n">
        <v>20</v>
      </c>
    </row>
    <row r="41">
      <c r="B41" t="inlineStr">
        <is>
          <t>Temperatura após X minutos</t>
        </is>
      </c>
      <c r="C41" s="90">
        <f>C15+(C36-C15)*EXP(-(C40*60)/C39)</f>
        <v/>
      </c>
      <c r="E41" t="inlineStr">
        <is>
          <t>Temperatura após X minutos</t>
        </is>
      </c>
      <c r="F41" s="90">
        <f>F15+(F36-F15)*EXP(-(F40*60)/F39)</f>
        <v/>
      </c>
    </row>
    <row r="42">
      <c r="C42" s="91" t="n"/>
      <c r="F42" s="91" t="n"/>
    </row>
    <row r="43">
      <c r="B43" s="73" t="inlineStr">
        <is>
          <t>Temperatura alvo (teste)</t>
        </is>
      </c>
      <c r="C43" s="92" t="n">
        <v>35</v>
      </c>
      <c r="E43" s="73" t="inlineStr">
        <is>
          <t>Temperatura alvo (teste)</t>
        </is>
      </c>
      <c r="F43" s="92" t="n">
        <v>35</v>
      </c>
    </row>
    <row r="44">
      <c r="B44" s="75" t="inlineStr">
        <is>
          <t>Tempo p/ chegar na temp. alvo</t>
        </is>
      </c>
      <c r="C44" s="93">
        <f>-C39*LN((C43-C15)/(C16-C15))/60</f>
        <v/>
      </c>
      <c r="E44" s="75" t="inlineStr">
        <is>
          <t>Tempo p/ chegar na temp. alvo</t>
        </is>
      </c>
      <c r="F44" s="93">
        <f>-F39*LN((F43-F15)/(F16-F15))/60</f>
        <v/>
      </c>
    </row>
    <row r="45">
      <c r="F45" s="4" t="n"/>
    </row>
    <row r="46">
      <c r="F46" s="4" t="n"/>
    </row>
    <row r="47">
      <c r="F47" s="4" t="n"/>
    </row>
    <row r="48">
      <c r="F48" s="4" t="n"/>
    </row>
    <row r="49">
      <c r="F49" s="4" t="n"/>
    </row>
    <row r="50">
      <c r="F50" s="4" t="n"/>
    </row>
    <row r="51">
      <c r="F51" s="4" t="n"/>
    </row>
    <row r="52">
      <c r="B52" t="inlineStr">
        <is>
          <t>Visc. cinemática</t>
        </is>
      </c>
      <c r="C52" t="n">
        <v>8e-07</v>
      </c>
      <c r="E52" t="inlineStr">
        <is>
          <t>Visc. cinemática</t>
        </is>
      </c>
      <c r="F52" t="n">
        <v>8e-07</v>
      </c>
    </row>
    <row r="53">
      <c r="B53" t="inlineStr">
        <is>
          <t>Reynolds</t>
        </is>
      </c>
      <c r="C53">
        <f>(C6/1000)*C11/C52</f>
        <v/>
      </c>
      <c r="E53" t="inlineStr">
        <is>
          <t>Reynolds</t>
        </is>
      </c>
      <c r="F53">
        <f>(F6/1000)*F11/F52</f>
        <v/>
      </c>
    </row>
    <row r="54">
      <c r="B54" s="17" t="inlineStr">
        <is>
          <t>Nu</t>
        </is>
      </c>
      <c r="C54" s="94">
        <f>0.023*(C53^0.8)*(4.6^0.3)</f>
        <v/>
      </c>
      <c r="E54" s="17" t="inlineStr">
        <is>
          <t>Nu</t>
        </is>
      </c>
      <c r="F54" s="94">
        <f>0.023*(F53^0.8)*(4.6^0.3)</f>
        <v/>
      </c>
      <c r="J54" t="inlineStr">
        <is>
          <t>Comprimento x pontos</t>
        </is>
      </c>
    </row>
    <row r="55" ht="28.8" customHeight="1" s="63">
      <c r="B55" s="17" t="inlineStr">
        <is>
          <t xml:space="preserve"> k = a condutividade térmica do fluido </t>
        </is>
      </c>
      <c r="C55" s="19" t="n">
        <v>0.598</v>
      </c>
      <c r="E55" s="17" t="inlineStr">
        <is>
          <t xml:space="preserve"> k = a condutividade térmica do fluido </t>
        </is>
      </c>
      <c r="F55" s="19" t="n">
        <v>0.598</v>
      </c>
      <c r="K55" t="inlineStr">
        <is>
          <t>Manifold</t>
        </is>
      </c>
      <c r="L55" t="inlineStr">
        <is>
          <t>Ramificado</t>
        </is>
      </c>
    </row>
    <row r="56">
      <c r="B56" t="inlineStr">
        <is>
          <t>H</t>
        </is>
      </c>
      <c r="C56">
        <f>C55*C54/(C6/1000)</f>
        <v/>
      </c>
      <c r="E56" t="inlineStr">
        <is>
          <t>H</t>
        </is>
      </c>
      <c r="F56">
        <f>F55*F54/(F6/1000)</f>
        <v/>
      </c>
      <c r="J56" t="n">
        <v>1</v>
      </c>
      <c r="K56">
        <f>23.6+5.9</f>
        <v/>
      </c>
      <c r="L56">
        <f>23.6+3.9</f>
        <v/>
      </c>
    </row>
    <row r="57">
      <c r="J57" t="n">
        <v>2</v>
      </c>
      <c r="K57">
        <f>K56+20.94+5.9</f>
        <v/>
      </c>
      <c r="L57">
        <f>L56+4.1</f>
        <v/>
      </c>
    </row>
    <row r="58">
      <c r="J58" t="n">
        <v>3</v>
      </c>
      <c r="K58">
        <f>K57+5.9+17.4</f>
        <v/>
      </c>
      <c r="L58">
        <f>L57+5</f>
        <v/>
      </c>
    </row>
    <row r="59">
      <c r="J59" t="n">
        <v>4</v>
      </c>
      <c r="K59">
        <f>K58+17.3+5.9</f>
        <v/>
      </c>
      <c r="L59">
        <f>L58+5</f>
        <v/>
      </c>
    </row>
    <row r="60">
      <c r="G60" t="n">
        <v>8</v>
      </c>
      <c r="H60" t="n">
        <v>1.3</v>
      </c>
      <c r="J60" t="n">
        <v>5</v>
      </c>
      <c r="K60">
        <f>K59+11.4+3.8+10.7</f>
        <v/>
      </c>
      <c r="L60">
        <f>L59+9.3+3.8+0.95</f>
        <v/>
      </c>
    </row>
    <row r="61">
      <c r="G61" t="n">
        <v>3</v>
      </c>
      <c r="H61" t="n">
        <v>3</v>
      </c>
      <c r="J61" t="n">
        <v>6</v>
      </c>
      <c r="K61">
        <f>K60+10.4+11+0.7</f>
        <v/>
      </c>
      <c r="L61">
        <f>L60+2</f>
        <v/>
      </c>
    </row>
  </sheetData>
  <mergeCells count="6">
    <mergeCell ref="M2:Q2"/>
    <mergeCell ref="E1:F1"/>
    <mergeCell ref="M3:M4"/>
    <mergeCell ref="N3:N4"/>
    <mergeCell ref="B1:C1"/>
    <mergeCell ref="O3:Q3"/>
  </mergeCells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B4" sqref="B4:F7"/>
    </sheetView>
  </sheetViews>
  <sheetFormatPr baseColWidth="8" defaultRowHeight="14.4"/>
  <cols>
    <col width="3.5546875" customWidth="1" style="63" min="1" max="1"/>
    <col width="13.88671875" customWidth="1" style="63" min="2" max="2"/>
    <col width="14.33203125" customWidth="1" style="63" min="3" max="3"/>
    <col width="15.5546875" customWidth="1" style="63" min="4" max="4"/>
    <col width="15.33203125" customWidth="1" style="63" min="5" max="5"/>
    <col width="19.21875" customWidth="1" style="63" min="6" max="6"/>
  </cols>
  <sheetData>
    <row r="1" ht="15" customHeight="1" s="63" thickBot="1"/>
    <row r="2" ht="19.8" customHeight="1" s="63" thickBot="1">
      <c r="B2" s="100" t="inlineStr">
        <is>
          <t>Condutividade solo</t>
        </is>
      </c>
      <c r="C2" s="101" t="n"/>
      <c r="D2" s="101" t="n"/>
      <c r="E2" s="101" t="n"/>
      <c r="F2" s="102" t="n"/>
    </row>
    <row r="3" ht="43.8" customHeight="1" s="63" thickBot="1">
      <c r="B3" s="59" t="inlineStr">
        <is>
          <t>Tipo de solo</t>
        </is>
      </c>
      <c r="C3" s="60" t="inlineStr">
        <is>
          <t>(k) recomendado (W/m·K)</t>
        </is>
      </c>
      <c r="D3" s="60" t="inlineStr">
        <is>
          <t>Descrição prática</t>
        </is>
      </c>
      <c r="E3" s="60" t="inlineStr">
        <is>
          <t>Característica térmica</t>
        </is>
      </c>
      <c r="F3" s="61" t="inlineStr">
        <is>
          <t>Quando usar</t>
        </is>
      </c>
    </row>
    <row r="4" ht="43.2" customHeight="1" s="63">
      <c r="B4" s="55" t="inlineStr">
        <is>
          <t>Solo seco / arenoso</t>
        </is>
      </c>
      <c r="C4" s="47" t="n">
        <v>0.5</v>
      </c>
      <c r="D4" s="46" t="inlineStr">
        <is>
          <t>Terra seca, areia, solo fofo, pouca umidade</t>
        </is>
      </c>
      <c r="E4" s="46" t="inlineStr">
        <is>
          <t>Solo conduz pouco calor</t>
        </is>
      </c>
      <c r="F4" s="49" t="inlineStr">
        <is>
          <t>Regiões secas, tubulação rasa em jardim seco</t>
        </is>
      </c>
    </row>
    <row r="5" ht="57.6" customHeight="1" s="63">
      <c r="B5" s="56" t="inlineStr">
        <is>
          <t>Solo residencial padrão</t>
        </is>
      </c>
      <c r="C5" s="45" t="n">
        <v>1</v>
      </c>
      <c r="D5" s="44" t="inlineStr">
        <is>
          <t>Terra compactada comum de obra residencial</t>
        </is>
      </c>
      <c r="E5" s="44" t="inlineStr">
        <is>
          <t>Condição intermediária mais realista</t>
        </is>
      </c>
      <c r="F5" s="51" t="inlineStr">
        <is>
          <t>Padrão recomendado para maioria das casas</t>
        </is>
      </c>
    </row>
    <row r="6" ht="57.6" customHeight="1" s="63">
      <c r="B6" s="56" t="inlineStr">
        <is>
          <t>Solo úmido</t>
        </is>
      </c>
      <c r="C6" s="45" t="n">
        <v>1.5</v>
      </c>
      <c r="D6" s="44" t="inlineStr">
        <is>
          <t>Terra constantemente úmida, irrigada ou sombreada</t>
        </is>
      </c>
      <c r="E6" s="44" t="inlineStr">
        <is>
          <t>Água aumenta muito a condução térmica</t>
        </is>
      </c>
      <c r="F6" s="51" t="inlineStr">
        <is>
          <t>Jardins irrigados, áreas úmidas</t>
        </is>
      </c>
    </row>
    <row r="7" ht="43.8" customHeight="1" s="63" thickBot="1">
      <c r="B7" s="57" t="inlineStr">
        <is>
          <t>Solo muito úmido / saturado</t>
        </is>
      </c>
      <c r="C7" s="58" t="n">
        <v>2</v>
      </c>
      <c r="D7" s="53" t="inlineStr">
        <is>
          <t>Solo encharcado ou próximo de lençol freático</t>
        </is>
      </c>
      <c r="E7" s="53" t="inlineStr">
        <is>
          <t>Solo começa atuar como dissipador forte</t>
        </is>
      </c>
      <c r="F7" s="54" t="inlineStr">
        <is>
          <t>Lençol freático, áreas alagáveis</t>
        </is>
      </c>
    </row>
    <row r="8" ht="15" customHeight="1" s="63" thickBot="1"/>
    <row r="9" ht="21.6" customHeight="1" s="63" thickBot="1">
      <c r="B9" s="100" t="inlineStr">
        <is>
          <t>Raio influência solo</t>
        </is>
      </c>
      <c r="C9" s="101" t="n"/>
      <c r="D9" s="101" t="n"/>
      <c r="E9" s="101" t="n"/>
      <c r="F9" s="102" t="n"/>
    </row>
    <row r="10" ht="29.4" customHeight="1" s="63" thickBot="1">
      <c r="B10" s="59" t="inlineStr">
        <is>
          <t>Raio influência</t>
        </is>
      </c>
      <c r="C10" s="60" t="inlineStr">
        <is>
          <t>Descrição prática</t>
        </is>
      </c>
      <c r="D10" s="60" t="inlineStr">
        <is>
          <t>Equivalência prática</t>
        </is>
      </c>
      <c r="E10" s="60" t="inlineStr">
        <is>
          <t>Característica térmica</t>
        </is>
      </c>
      <c r="F10" s="61" t="inlineStr">
        <is>
          <t>Quando usar</t>
        </is>
      </c>
    </row>
    <row r="11" ht="43.2" customHeight="1" s="63">
      <c r="B11" s="48" t="inlineStr">
        <is>
          <t>0,15 m</t>
        </is>
      </c>
      <c r="C11" s="46" t="inlineStr">
        <is>
          <t>Enterrado raso</t>
        </is>
      </c>
      <c r="D11" s="46" t="inlineStr">
        <is>
          <t>Tubo enterrado entre 5–15 cm de profundidade</t>
        </is>
      </c>
      <c r="E11" s="46" t="inlineStr">
        <is>
          <t>Pouca massa de solo ao redor</t>
        </is>
      </c>
      <c r="F11" s="49" t="inlineStr">
        <is>
          <t>Jardim superficial, passagem rasa</t>
        </is>
      </c>
    </row>
    <row r="12" ht="28.8" customHeight="1" s="63">
      <c r="B12" s="50" t="inlineStr">
        <is>
          <t>0,30 m</t>
        </is>
      </c>
      <c r="C12" s="44" t="inlineStr">
        <is>
          <t>Residencial padrão</t>
        </is>
      </c>
      <c r="D12" s="44" t="inlineStr">
        <is>
          <t>Tubo enterrado ~20–40 cm</t>
        </is>
      </c>
      <c r="E12" s="44" t="inlineStr">
        <is>
          <t>Massa térmica intermediária</t>
        </is>
      </c>
      <c r="F12" s="51" t="inlineStr">
        <is>
          <t>Obras residenciais comuns</t>
        </is>
      </c>
    </row>
    <row r="13" ht="58.2" customHeight="1" s="63" thickBot="1">
      <c r="B13" s="52" t="inlineStr">
        <is>
          <t>0,50 m</t>
        </is>
      </c>
      <c r="C13" s="53" t="inlineStr">
        <is>
          <t>Enterrado profundo / solo massivo</t>
        </is>
      </c>
      <c r="D13" s="53" t="inlineStr">
        <is>
          <t>Tubo enterrado &gt;50 cm ou muito envolvido por solo/concreto</t>
        </is>
      </c>
      <c r="E13" s="53" t="inlineStr">
        <is>
          <t>Grande massa térmica ao redor</t>
        </is>
      </c>
      <c r="F13" s="54" t="inlineStr">
        <is>
          <t>Tubo profundo, contrapiso, solo muito estável</t>
        </is>
      </c>
    </row>
  </sheetData>
  <mergeCells count="2">
    <mergeCell ref="B2:F2"/>
    <mergeCell ref="B9:F9"/>
  </mergeCells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style="63" min="1" max="1"/>
    <col width="8" customWidth="1" style="63" min="2" max="2"/>
    <col width="46" customWidth="1" style="63" min="3" max="3"/>
    <col width="46" customWidth="1" style="63" min="4" max="4"/>
    <col width="14" customWidth="1" style="63" min="5" max="5"/>
    <col width="60" customWidth="1" style="63" min="6" max="6"/>
  </cols>
  <sheetData>
    <row r="1">
      <c r="A1" t="inlineStr">
        <is>
          <t>Correções aplicadas (vs arquivo original) — Hidráulica de Casas</t>
        </is>
      </c>
    </row>
    <row r="2">
      <c r="A2" t="inlineStr">
        <is>
          <t>Gerado para uso como fonte de verdade da ferramenta. Original preservado separadamente.</t>
        </is>
      </c>
    </row>
    <row r="4">
      <c r="A4" t="inlineStr">
        <is>
          <t>Aba</t>
        </is>
      </c>
      <c r="B4" t="inlineStr">
        <is>
          <t>Célula</t>
        </is>
      </c>
      <c r="C4" t="inlineStr">
        <is>
          <t>Fórmula ANTES</t>
        </is>
      </c>
      <c r="D4" t="inlineStr">
        <is>
          <t>Fórmula DEPOIS</t>
        </is>
      </c>
      <c r="E4" t="inlineStr">
        <is>
          <t>Status</t>
        </is>
      </c>
      <c r="F4" t="inlineStr">
        <is>
          <t>Motivo</t>
        </is>
      </c>
    </row>
    <row r="5">
      <c r="A5" t="inlineStr">
        <is>
          <t>Solos</t>
        </is>
      </c>
      <c r="B5" t="inlineStr">
        <is>
          <t>C41</t>
        </is>
      </c>
      <c r="C5">
        <f>C16+(C36-C16)*EXP(-(C40*60)/C39)</f>
        <v/>
      </c>
      <c r="D5">
        <f>C15+(C36-C15)*EXP(-(C40*60)/C39)</f>
        <v/>
      </c>
      <c r="E5" t="inlineStr">
        <is>
          <t>alterado</t>
        </is>
      </c>
      <c r="F5" t="inlineStr">
        <is>
          <t>Resfriamento: asíntota = temp ambiente C15 (era C16)</t>
        </is>
      </c>
    </row>
    <row r="6">
      <c r="A6" t="inlineStr">
        <is>
          <t>Solos</t>
        </is>
      </c>
      <c r="B6" t="inlineStr">
        <is>
          <t>F41</t>
        </is>
      </c>
      <c r="C6">
        <f>F16+(F36-F16)*EXP(-(F40*60)/F39)</f>
        <v/>
      </c>
      <c r="D6">
        <f>F15+(F36-F15)*EXP(-(F40*60)/F39)</f>
        <v/>
      </c>
      <c r="E6" t="inlineStr">
        <is>
          <t>alterado</t>
        </is>
      </c>
      <c r="F6" t="inlineStr">
        <is>
          <t>Resfriamento: asíntota = temp ambiente F15 (era F16)</t>
        </is>
      </c>
    </row>
    <row r="7">
      <c r="A7" t="inlineStr">
        <is>
          <t>Solos</t>
        </is>
      </c>
      <c r="B7" t="inlineStr">
        <is>
          <t>C44</t>
        </is>
      </c>
      <c r="C7">
        <f>-C39*LN((C43-C16)/(C17-C16))/60</f>
        <v/>
      </c>
      <c r="D7">
        <f>-C39*LN((C43-C15)/(C16-C15))/60</f>
        <v/>
      </c>
      <c r="E7" t="inlineStr">
        <is>
          <t>alterado</t>
        </is>
      </c>
      <c r="F7" t="inlineStr">
        <is>
          <t>Tempo p/ alvo: usar C15 ambiente e C16 inicial (era C16/C17=condutividade)</t>
        </is>
      </c>
    </row>
    <row r="8">
      <c r="A8" t="inlineStr">
        <is>
          <t>Solos</t>
        </is>
      </c>
      <c r="B8" t="inlineStr">
        <is>
          <t>F44</t>
        </is>
      </c>
      <c r="C8">
        <f>-F39*LN((F43-F16)/(F17-F16))/60</f>
        <v/>
      </c>
      <c r="D8">
        <f>-F39*LN((F43-F15)/(F16-F15))/60</f>
        <v/>
      </c>
      <c r="E8" t="inlineStr">
        <is>
          <t>alterado</t>
        </is>
      </c>
      <c r="F8" t="inlineStr">
        <is>
          <t>Tempo p/ alvo: usar F15 ambiente e F16 inicial (era F16/F17=condutividade)</t>
        </is>
      </c>
    </row>
    <row r="9">
      <c r="A9" t="inlineStr">
        <is>
          <t>Shafts e Afins</t>
        </is>
      </c>
      <c r="B9" t="inlineStr">
        <is>
          <t>C6</t>
        </is>
      </c>
      <c r="C9">
        <f>INDEX(Planilha2!$B$5:$B$13,MATCH(C5,Planilha2!$A$5:$A$13,2))</f>
        <v/>
      </c>
      <c r="D9">
        <f>INDEX(Planilha2!$B$5:$B$13,MATCH(C5,Planilha2!$A$5:$A$13,0))</f>
        <v/>
      </c>
      <c r="E9" t="inlineStr">
        <is>
          <t>alterado</t>
        </is>
      </c>
      <c r="F9" t="inlineStr">
        <is>
          <t>MATCH exato (3o arg 0) no lugar de 2</t>
        </is>
      </c>
    </row>
    <row r="10">
      <c r="A10" t="inlineStr">
        <is>
          <t>Shafts e Afins</t>
        </is>
      </c>
      <c r="B10" t="inlineStr">
        <is>
          <t>F6</t>
        </is>
      </c>
      <c r="C10">
        <f>INDEX(Planilha2!$B$5:$B$13,MATCH(F5,Planilha2!$A$5:$A$13,2))</f>
        <v/>
      </c>
      <c r="D10">
        <f>INDEX(Planilha2!$B$5:$B$13,MATCH(F5,Planilha2!$A$5:$A$13,0))</f>
        <v/>
      </c>
      <c r="E10" t="inlineStr">
        <is>
          <t>alterado</t>
        </is>
      </c>
      <c r="F10" t="inlineStr">
        <is>
          <t>MATCH exato (3o arg 0) no lugar de 2</t>
        </is>
      </c>
    </row>
    <row r="11">
      <c r="A11" t="inlineStr">
        <is>
          <t>Solos</t>
        </is>
      </c>
      <c r="B11" t="inlineStr">
        <is>
          <t>C6</t>
        </is>
      </c>
      <c r="C11">
        <f>INDEX(Planilha2!$B$5:$B$13,MATCH(C5,Planilha2!$A$5:$A$13,2))</f>
        <v/>
      </c>
      <c r="D11">
        <f>INDEX(Planilha2!$B$5:$B$13,MATCH(C5,Planilha2!$A$5:$A$13,0))</f>
        <v/>
      </c>
      <c r="E11" t="inlineStr">
        <is>
          <t>alterado</t>
        </is>
      </c>
      <c r="F11" t="inlineStr">
        <is>
          <t>MATCH exato (3o arg 0) no lugar de 2</t>
        </is>
      </c>
    </row>
    <row r="12">
      <c r="A12" t="inlineStr">
        <is>
          <t>Solos</t>
        </is>
      </c>
      <c r="B12" t="inlineStr">
        <is>
          <t>F6</t>
        </is>
      </c>
      <c r="C12">
        <f>INDEX(Planilha2!$B$5:$B$13,MATCH(F5,Planilha2!$A$5:$A$13,2))</f>
        <v/>
      </c>
      <c r="D12">
        <f>INDEX(Planilha2!$B$5:$B$13,MATCH(F5,Planilha2!$A$5:$A$13,0))</f>
        <v/>
      </c>
      <c r="E12" t="inlineStr">
        <is>
          <t>alterado</t>
        </is>
      </c>
      <c r="F12" t="inlineStr">
        <is>
          <t>MATCH exato (3o arg 0) no lugar de 2</t>
        </is>
      </c>
    </row>
    <row r="13">
      <c r="A13" t="inlineStr">
        <is>
          <t>Shafts e Afins</t>
        </is>
      </c>
      <c r="B13" t="inlineStr">
        <is>
          <t>C20</t>
        </is>
      </c>
      <c r="C13">
        <f>IF(C19=0,((2*3.14*(C9)*(C15-C16))/((1/C17)*(LN(C5/C6))))/1000,((2*3.14*(C9)*(C15-C16))/(((1/C17)*(LN(C5/C6))+((1/C18)*(LN((C5+C19)/C5)))))/1000))</f>
        <v/>
      </c>
      <c r="D13">
        <f>IF(C19=0,((2*3.14*(C9)*(C15-C16))/((1/C17)*(LN(C5/C6))))/1000,((2*3.14*(C9)*(C15-C16))/(((1/C17)*(LN(C5/C6))+((1/C18)*(LN((C5+2*C19)/C5)))))/1000))</f>
        <v/>
      </c>
      <c r="E13" t="inlineStr">
        <is>
          <t>alterado</t>
        </is>
      </c>
      <c r="F13" t="inlineStr">
        <is>
          <t>Isolante: diâmetro externo = C5+2*C19 (era C5+C19)</t>
        </is>
      </c>
    </row>
    <row r="14">
      <c r="A14" t="inlineStr">
        <is>
          <t>Shafts e Afins</t>
        </is>
      </c>
      <c r="B14" t="inlineStr">
        <is>
          <t>F20</t>
        </is>
      </c>
      <c r="C14">
        <f>IF(F19=0,((2*3.14*(F9)*(F15-F16))/((1/F17)*(LN(F5/F6))))/1000,((2*3.14*(F9)*(F15-F16))/(((1/F17)*(LN(F5/F6))+((1/F18)*(LN((F5+F19)/F5)))))/1000))</f>
        <v/>
      </c>
      <c r="D14">
        <f>IF(F19=0,((2*3.14*(F9)*(F15-F16))/((1/F17)*(LN(F5/F6))))/1000,((2*3.14*(F9)*(F15-F16))/(((1/F17)*(LN(F5/F6))+((1/F18)*(LN((F5+2*F19)/F5)))))/1000))</f>
        <v/>
      </c>
      <c r="E14" t="inlineStr">
        <is>
          <t>alterado</t>
        </is>
      </c>
      <c r="F14" t="inlineStr">
        <is>
          <t>Isolante: diâmetro externo = F5+2*F19 (era F5+F19)</t>
        </is>
      </c>
    </row>
    <row r="15">
      <c r="A15" t="inlineStr">
        <is>
          <t>Solos</t>
        </is>
      </c>
      <c r="B15" t="inlineStr">
        <is>
          <t>C20</t>
        </is>
      </c>
      <c r="C15">
        <f>IF(C19=0,((2*3.14*(C9)*(C15-C16))/((1/C17)*(LN(C5/C6))))/1000,((2*3.14*(C9)*(C15-C16))/(((1/C17)*(LN(C5/C6))+((1/C18)*(LN((C5+C19)/C5)))))/1000))</f>
        <v/>
      </c>
      <c r="D15">
        <f>IF(C19=0,((2*3.14*(C9)*(C15-C16))/((1/C17)*(LN(C5/C6))))/1000,((2*3.14*(C9)*(C15-C16))/(((1/C17)*(LN(C5/C6))+((1/C18)*(LN((C5+2*C19)/C5)))))/1000))</f>
        <v/>
      </c>
      <c r="E15" t="inlineStr">
        <is>
          <t>alterado</t>
        </is>
      </c>
      <c r="F15" t="inlineStr">
        <is>
          <t>Isolante: diâmetro externo = C5+2*C19 (era C5+C19)</t>
        </is>
      </c>
    </row>
    <row r="16">
      <c r="A16" t="inlineStr">
        <is>
          <t>Solos</t>
        </is>
      </c>
      <c r="B16" t="inlineStr">
        <is>
          <t>F20</t>
        </is>
      </c>
      <c r="C16">
        <f>IF(F19=0,((2*3.14*(F9)*(F15-F16))/((1/F17)*(LN(F5/F6))))/1000,((2*3.14*(F9)*(F15-F16))/(((1/F17)*(LN(F5/F6))+((1/F18)*(LN((F5+F19)/F5)))))/1000))</f>
        <v/>
      </c>
      <c r="D16">
        <f>IF(F19=0,((2*3.14*(F9)*(F15-F16))/((1/F17)*(LN(F5/F6))))/1000,((2*3.14*(F9)*(F15-F16))/(((1/F17)*(LN(F5/F6))+((1/F18)*(LN((F5+2*F19)/F5)))))/1000))</f>
        <v/>
      </c>
      <c r="E16" t="inlineStr">
        <is>
          <t>alterado</t>
        </is>
      </c>
      <c r="F16" t="inlineStr">
        <is>
          <t>Isolante: diâmetro externo = F5+2*F19 (era F5+F19)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Igor Gabriel Santos Pinto</dc:creator>
  <dc:language xmlns:dc="http://purl.org/dc/elements/1.1/">pt-BR</dc:language>
  <dcterms:created xmlns:dcterms="http://purl.org/dc/terms/" xmlns:xsi="http://www.w3.org/2001/XMLSchema-instance" xsi:type="dcterms:W3CDTF">2024-03-01T01:20:41Z</dcterms:created>
  <dcterms:modified xmlns:dcterms="http://purl.org/dc/terms/" xmlns:xsi="http://www.w3.org/2001/XMLSchema-instance" xsi:type="dcterms:W3CDTF">2026-06-17T20:45:50Z</dcterms:modified>
  <cp:lastModifiedBy>Igor Gabriel</cp:lastModifiedBy>
  <cp:revision>6</cp:revision>
</cp:coreProperties>
</file>