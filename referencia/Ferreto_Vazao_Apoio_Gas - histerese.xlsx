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álculo" sheetId="1" state="visible" r:id="rId3"/>
    <sheet name="Aquecedores" sheetId="2" state="visible" r:id="rId4"/>
  </sheets>
  <definedNames>
    <definedName function="false" hidden="false" localSheetId="0" name="_xlnm.Print_Area" vbProcedure="false">Cálculo!$A$1:$I$48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<sst xmlns="http://schemas.openxmlformats.org/spreadsheetml/2006/main" count="123" uniqueCount="93">
  <si>
    <t xml:space="preserve">Dimensionamento — Apoio à Gás</t>
  </si>
  <si>
    <t xml:space="preserve">Vazão do sistema (3 métodos) + seleção de aquecedor  ·  @ferretoengenharia</t>
  </si>
  <si>
    <t xml:space="preserve">► PAINEL DE SELEÇÃO DO AQUECEDOR — CUSTO × BENEFÍCIO</t>
  </si>
  <si>
    <t xml:space="preserve">Método</t>
  </si>
  <si>
    <t xml:space="preserve">Pot. útil necessária (kcal/h)</t>
  </si>
  <si>
    <t xml:space="preserve">Arranjo recomendado</t>
  </si>
  <si>
    <t xml:space="preserve">Preço</t>
  </si>
  <si>
    <t xml:space="preserve">Pot. útil do arranjo (kcal/h)</t>
  </si>
  <si>
    <t xml:space="preserve">Pot. nominal do arranjo (kcal/h)</t>
  </si>
  <si>
    <t xml:space="preserve">Alternativa (quando vale a pena)</t>
  </si>
  <si>
    <t xml:space="preserve">Vazão Máxima Provável (V.M.P)</t>
  </si>
  <si>
    <t xml:space="preserve">NBR 16057</t>
  </si>
  <si>
    <t xml:space="preserve">Tempo Determinado (T.D)</t>
  </si>
  <si>
    <t xml:space="preserve">DADOS DE ENTRADA  (edite as células amarelas)</t>
  </si>
  <si>
    <t xml:space="preserve">VB — vazão de uso</t>
  </si>
  <si>
    <t xml:space="preserve">l/min</t>
  </si>
  <si>
    <t xml:space="preserve">ex.: 3 banhos ~ 12 l/min cada</t>
  </si>
  <si>
    <t xml:space="preserve">TB — temp. de uso</t>
  </si>
  <si>
    <t xml:space="preserve">°C</t>
  </si>
  <si>
    <t xml:space="preserve">TAF — temp. água fria</t>
  </si>
  <si>
    <t xml:space="preserve">TAQ — temp. do boiler</t>
  </si>
  <si>
    <t xml:space="preserve">V consumo diário (NBR)</t>
  </si>
  <si>
    <t xml:space="preserve">L</t>
  </si>
  <si>
    <t xml:space="preserve">FS — simultaneidade (NBR)</t>
  </si>
  <si>
    <t xml:space="preserve">—</t>
  </si>
  <si>
    <t xml:space="preserve">0,9 p/ unidade habitacional</t>
  </si>
  <si>
    <t xml:space="preserve">V — volume do boiler (T.D)</t>
  </si>
  <si>
    <t xml:space="preserve">t — tempo alvo (T.D)</t>
  </si>
  <si>
    <t xml:space="preserve">min</t>
  </si>
  <si>
    <t xml:space="preserve">Histerese (T.D)</t>
  </si>
  <si>
    <t xml:space="preserve">0 = apoio por demanda · 5 = termostato</t>
  </si>
  <si>
    <t xml:space="preserve">ΔT = TAQ − TAF</t>
  </si>
  <si>
    <t xml:space="preserve">calculado</t>
  </si>
  <si>
    <t xml:space="preserve">MÉTODO 1 — VAZÃO MÁXIMA PROVÁVEL (V.M.P)</t>
  </si>
  <si>
    <t xml:space="preserve">Tabela C.1 — F armaz</t>
  </si>
  <si>
    <t xml:space="preserve">VAQ</t>
  </si>
  <si>
    <t xml:space="preserve">ƒ: VB × (TB−TAF)/(TAQ−TAF)</t>
  </si>
  <si>
    <t xml:space="preserve">V pico (L)</t>
  </si>
  <si>
    <t xml:space="preserve">F armaz</t>
  </si>
  <si>
    <t xml:space="preserve">P (potência útil)</t>
  </si>
  <si>
    <t xml:space="preserve">kcal/h</t>
  </si>
  <si>
    <t xml:space="preserve">ƒ: VAQ × ΔT × 60</t>
  </si>
  <si>
    <t xml:space="preserve">0 a 1 500</t>
  </si>
  <si>
    <t xml:space="preserve">1/3</t>
  </si>
  <si>
    <t xml:space="preserve">vazão (l/h)</t>
  </si>
  <si>
    <t xml:space="preserve">l/h</t>
  </si>
  <si>
    <t xml:space="preserve">1 501 a 6 000</t>
  </si>
  <si>
    <t xml:space="preserve">1/4</t>
  </si>
  <si>
    <t xml:space="preserve">► Vazão V.M.P</t>
  </si>
  <si>
    <t xml:space="preserve">6 001 a 12 000</t>
  </si>
  <si>
    <t xml:space="preserve">1/5</t>
  </si>
  <si>
    <t xml:space="preserve">12 001 a 20 000</t>
  </si>
  <si>
    <t xml:space="preserve">1/6</t>
  </si>
  <si>
    <t xml:space="preserve">MÉTODO 2 — NBR 16057 (SAAG)</t>
  </si>
  <si>
    <t xml:space="preserve">&gt; 20 001</t>
  </si>
  <si>
    <t xml:space="preserve">1/7</t>
  </si>
  <si>
    <t xml:space="preserve">V corrigido</t>
  </si>
  <si>
    <t xml:space="preserve">ƒ: Vcons × (TB−TAF)/(TAQ−TAF)</t>
  </si>
  <si>
    <t xml:space="preserve">V pico</t>
  </si>
  <si>
    <t xml:space="preserve">ƒ: V corrigido × FS</t>
  </si>
  <si>
    <t xml:space="preserve">ABNT NBR 16057:2024, Anexo C</t>
  </si>
  <si>
    <t xml:space="preserve">Tabela C.1 (por V pico)</t>
  </si>
  <si>
    <t xml:space="preserve">V armaz. gás</t>
  </si>
  <si>
    <t xml:space="preserve">ƒ: V pico × F armaz</t>
  </si>
  <si>
    <t xml:space="preserve">V recup.</t>
  </si>
  <si>
    <t xml:space="preserve">ƒ: V pico − V armaz. gás</t>
  </si>
  <si>
    <t xml:space="preserve">ƒ: V recup. × ΔT</t>
  </si>
  <si>
    <t xml:space="preserve">► Vazão NBR 16057</t>
  </si>
  <si>
    <t xml:space="preserve">MÉTODO 3 — TEMPO DETERMINADO (T.D) — com histerese</t>
  </si>
  <si>
    <t xml:space="preserve">t₁ (atraso do dead-band)</t>
  </si>
  <si>
    <t xml:space="preserve">ƒ: V × Hist / (VB×(TB−TAF))</t>
  </si>
  <si>
    <t xml:space="preserve">ƒ: 60×[VB×(TB−TAF) − V×(TAQ−Hist−TB)/(t−t₁)]</t>
  </si>
  <si>
    <t xml:space="preserve">► Vazão Tempo Determinado</t>
  </si>
  <si>
    <t xml:space="preserve">RESUMO — VAZÕES DO SISTEMA</t>
  </si>
  <si>
    <t xml:space="preserve">AQUECEDORES RINNAI — CATÁLOGO DE REFERÊNCIA</t>
  </si>
  <si>
    <t xml:space="preserve">Modelo</t>
  </si>
  <si>
    <t xml:space="preserve">Vazão (L/min)</t>
  </si>
  <si>
    <t xml:space="preserve">Pot. nominal (kcal/h)</t>
  </si>
  <si>
    <t xml:space="preserve">Pot. (kW)</t>
  </si>
  <si>
    <t xml:space="preserve">Rendimento</t>
  </si>
  <si>
    <t xml:space="preserve">Preço médio (R$)</t>
  </si>
  <si>
    <t xml:space="preserve">Pot. útil (kcal/h)</t>
  </si>
  <si>
    <t xml:space="preserve">RINNAI E10</t>
  </si>
  <si>
    <t xml:space="preserve">RINNAI E15</t>
  </si>
  <si>
    <t xml:space="preserve">RINNAI E17</t>
  </si>
  <si>
    <t xml:space="preserve">RINNAI E21</t>
  </si>
  <si>
    <t xml:space="preserve">RINNAI E27</t>
  </si>
  <si>
    <t xml:space="preserve">RINNAI E33</t>
  </si>
  <si>
    <t xml:space="preserve">RINNAI E35</t>
  </si>
  <si>
    <t xml:space="preserve">RINNAI E43</t>
  </si>
  <si>
    <t xml:space="preserve">Preços levantados em:</t>
  </si>
  <si>
    <t xml:space="preserve">21/06/2026</t>
  </si>
  <si>
    <t xml:space="preserve">Valores médios de mercado, de caráter referencial. Atualize a data ao revisar os preços.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</si>
</sst>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&quot;R$ &quot;#,##0"/>
    <numFmt numFmtId="167" formatCode="0"/>
    <numFmt numFmtId="168" formatCode="General"/>
    <numFmt numFmtId="169" formatCode="0.0"/>
    <numFmt numFmtId="170" formatCode="0.00"/>
    <numFmt numFmtId="171" formatCode="0.000"/>
    <numFmt numFmtId="172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E6B2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60606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B26A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E6A817"/>
        <bgColor rgb="FFFFCC00"/>
      </patternFill>
    </fill>
    <fill>
      <patternFill patternType="solid">
        <fgColor rgb="FF1F4E78"/>
        <bgColor rgb="FF003366"/>
      </patternFill>
    </fill>
    <fill>
      <patternFill patternType="solid">
        <fgColor rgb="FFE3F2E5"/>
        <bgColor rgb="FFF2F2F2"/>
      </patternFill>
    </fill>
    <fill>
      <patternFill patternType="solid">
        <fgColor rgb="FFF2F2F2"/>
        <bgColor rgb="FFE3F2E5"/>
      </patternFill>
    </fill>
    <fill>
      <patternFill patternType="solid">
        <fgColor rgb="FFFFF3B0"/>
        <bgColor rgb="FFFDE9C0"/>
      </patternFill>
    </fill>
    <fill>
      <patternFill patternType="solid">
        <fgColor rgb="FFFDE9C0"/>
        <bgColor rgb="FFFFF3B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F"/>
      <rgbColor rgb="FF000080"/>
      <rgbColor rgb="FFB26A00"/>
      <rgbColor rgb="FF800080"/>
      <rgbColor rgb="FF008080"/>
      <rgbColor rgb="FFC8C8C8"/>
      <rgbColor rgb="FF808080"/>
      <rgbColor rgb="FF9999FF"/>
      <rgbColor rgb="FF993366"/>
      <rgbColor rgb="FFFDE9C0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E5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817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16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true" outlineLevel="0" max="12" min="11" style="0" width="6"/>
    <col collapsed="false" customWidth="true" hidden="true" outlineLevel="0" max="14" min="13" style="0" width="8"/>
    <col collapsed="false" customWidth="true" hidden="true" outlineLevel="0" max="15" min="15" style="0" width="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21.75" hidden="false" customHeight="true" outlineLevel="0" collapsed="false">
      <c r="A6" s="5" t="s">
        <v>10</v>
      </c>
      <c r="B6" s="6" t="n">
        <f aca="false">B25</f>
        <v>43200</v>
      </c>
      <c r="C6" s="7" t="str">
        <f aca="false">IF($O6=0,"sem opção",IF($O6=1,"✓ 1× "&amp;SUBSTITUTE(INDEX(Aquecedores!$B$3:$B$10,$K6),"RINNAI ",""),"✓ 2× "&amp;SUBSTITUTE(INDEX(Aquecedores!$B$3:$B$10,$L6),"RINNAI ","")))</f>
        <v>✓ 2× E21</v>
      </c>
      <c r="D6" s="8" t="n">
        <f aca="false">IF($O6=1,$M6,IF($O6=2,$N6,""))</f>
        <v>5998</v>
      </c>
      <c r="E6" s="9" t="n">
        <f aca="false">IF($O6=1,INDEX(Aquecedores!$H$3:$H$10,$K6),IF($O6=2,2*INDEX(Aquecedores!$H$3:$H$10,$L6),""))</f>
        <v>49880</v>
      </c>
      <c r="F6" s="6" t="n">
        <f aca="false">IF($O6=1,INDEX(Aquecedores!$D$3:$D$10,$K6),IF($O6=2,2*INDEX(Aquecedores!$D$3:$D$10,$L6),""))</f>
        <v>58000</v>
      </c>
      <c r="G6" s="10" t="str">
        <f aca="false">IF(AND($O6=2,$K6&lt;=8),"1× "&amp;SUBSTITUTE(INDEX(Aquecedores!$B$3:$B$10,$K6),"RINNAI ","")&amp;"  ·  +R$ "&amp;TEXT($M6-$N6,"#,##0")&amp;"  (1 aparelho)","—")</f>
        <v>1× E43  ·  +R$ 4,472  (1 aparelho)</v>
      </c>
      <c r="K6" s="11" t="n">
        <f aca="false">SUMPRODUCT((Aquecedores!$H$3:$H$10&lt;$B6)*1)+1</f>
        <v>8</v>
      </c>
      <c r="L6" s="11" t="n">
        <f aca="false">SUMPRODUCT((Aquecedores!$H$3:$H$10&lt;$B6/2)*1)+1</f>
        <v>4</v>
      </c>
      <c r="M6" s="12" t="n">
        <f aca="false">IFERROR(INDEX(Aquecedores!$G$3:$G$10,$K6),"")</f>
        <v>10470</v>
      </c>
      <c r="N6" s="13" t="n">
        <f aca="false">IFERROR(2*INDEX(Aquecedores!$G$3:$G$10,$L6),"")</f>
        <v>5998</v>
      </c>
      <c r="O6" s="13" t="n">
        <f aca="false">IF(AND($K6&lt;=8,$L6&lt;=8),IF($N6&lt;$M6,2,1),IF($K6&lt;=8,1,IF($L6&lt;=8,2,0)))</f>
        <v>2</v>
      </c>
    </row>
    <row r="7" customFormat="false" ht="21.75" hidden="false" customHeight="true" outlineLevel="0" collapsed="false">
      <c r="A7" s="5" t="s">
        <v>11</v>
      </c>
      <c r="B7" s="6" t="n">
        <f aca="false">B35</f>
        <v>12000</v>
      </c>
      <c r="C7" s="7" t="str">
        <f aca="false">IF($O7=0,"sem opção",IF($O7=1,"✓ 1× "&amp;SUBSTITUTE(INDEX(Aquecedores!$B$3:$B$10,$K7),"RINNAI ",""),"✓ 2× "&amp;SUBSTITUTE(INDEX(Aquecedores!$B$3:$B$10,$L7),"RINNAI ","")))</f>
        <v>✓ 1× E10</v>
      </c>
      <c r="D7" s="8" t="n">
        <f aca="false">IF($O7=1,$M7,IF($O7=2,$N7,""))</f>
        <v>1549</v>
      </c>
      <c r="E7" s="9" t="n">
        <f aca="false">IF($O7=1,INDEX(Aquecedores!$H$3:$H$10,$K7),IF($O7=2,2*INDEX(Aquecedores!$H$3:$H$10,$L7),""))</f>
        <v>12470</v>
      </c>
      <c r="F7" s="6" t="n">
        <f aca="false">IF($O7=1,INDEX(Aquecedores!$D$3:$D$10,$K7),IF($O7=2,2*INDEX(Aquecedores!$D$3:$D$10,$L7),""))</f>
        <v>14500</v>
      </c>
      <c r="G7" s="10" t="str">
        <f aca="false">IF(AND($O7=2,$K7&lt;=8),"1× "&amp;SUBSTITUTE(INDEX(Aquecedores!$B$3:$B$10,$K7),"RINNAI ","")&amp;"  ·  +R$ "&amp;TEXT($M7-$N7,"#,##0")&amp;"  (1 aparelho)","—")</f>
        <v>—</v>
      </c>
      <c r="K7" s="11" t="n">
        <f aca="false">SUMPRODUCT((Aquecedores!$H$3:$H$10&lt;$B7)*1)+1</f>
        <v>1</v>
      </c>
      <c r="L7" s="11" t="n">
        <f aca="false">SUMPRODUCT((Aquecedores!$H$3:$H$10&lt;$B7/2)*1)+1</f>
        <v>1</v>
      </c>
      <c r="M7" s="12" t="n">
        <f aca="false">IFERROR(INDEX(Aquecedores!$G$3:$G$10,$K7),"")</f>
        <v>1549</v>
      </c>
      <c r="N7" s="13" t="n">
        <f aca="false">IFERROR(2*INDEX(Aquecedores!$G$3:$G$10,$L7),"")</f>
        <v>3098</v>
      </c>
      <c r="O7" s="13" t="n">
        <f aca="false">IF(AND($K7&lt;=8,$L7&lt;=8),IF($N7&lt;$M7,2,1),IF($K7&lt;=8,1,IF($L7&lt;=8,2,0)))</f>
        <v>1</v>
      </c>
    </row>
    <row r="8" customFormat="false" ht="21.75" hidden="false" customHeight="true" outlineLevel="0" collapsed="false">
      <c r="A8" s="5" t="s">
        <v>12</v>
      </c>
      <c r="B8" s="6" t="n">
        <f aca="false">B41</f>
        <v>5958.62068965517</v>
      </c>
      <c r="C8" s="7" t="str">
        <f aca="false">IF($O8=0,"sem opção",IF($O8=1,"✓ 1× "&amp;SUBSTITUTE(INDEX(Aquecedores!$B$3:$B$10,$K8),"RINNAI ",""),"✓ 2× "&amp;SUBSTITUTE(INDEX(Aquecedores!$B$3:$B$10,$L8),"RINNAI ","")))</f>
        <v>✓ 1× E10</v>
      </c>
      <c r="D8" s="8" t="n">
        <f aca="false">IF($O8=1,$M8,IF($O8=2,$N8,""))</f>
        <v>1549</v>
      </c>
      <c r="E8" s="9" t="n">
        <f aca="false">IF($O8=1,INDEX(Aquecedores!$H$3:$H$10,$K8),IF($O8=2,2*INDEX(Aquecedores!$H$3:$H$10,$L8),""))</f>
        <v>12470</v>
      </c>
      <c r="F8" s="6" t="n">
        <f aca="false">IF($O8=1,INDEX(Aquecedores!$D$3:$D$10,$K8),IF($O8=2,2*INDEX(Aquecedores!$D$3:$D$10,$L8),""))</f>
        <v>14500</v>
      </c>
      <c r="G8" s="10" t="str">
        <f aca="false">IF(AND($O8=2,$K8&lt;=8),"1× "&amp;SUBSTITUTE(INDEX(Aquecedores!$B$3:$B$10,$K8),"RINNAI ","")&amp;"  ·  +R$ "&amp;TEXT($M8-$N8,"#,##0")&amp;"  (1 aparelho)","—")</f>
        <v>—</v>
      </c>
      <c r="K8" s="11" t="n">
        <f aca="false">SUMPRODUCT((Aquecedores!$H$3:$H$10&lt;$B8)*1)+1</f>
        <v>1</v>
      </c>
      <c r="L8" s="11" t="n">
        <f aca="false">SUMPRODUCT((Aquecedores!$H$3:$H$10&lt;$B8/2)*1)+1</f>
        <v>1</v>
      </c>
      <c r="M8" s="12" t="n">
        <f aca="false">IFERROR(INDEX(Aquecedores!$G$3:$G$10,$K8),"")</f>
        <v>1549</v>
      </c>
      <c r="N8" s="13" t="n">
        <f aca="false">IFERROR(2*INDEX(Aquecedores!$G$3:$G$10,$L8),"")</f>
        <v>3098</v>
      </c>
      <c r="O8" s="13" t="n">
        <f aca="false">IF(AND($K8&lt;=8,$L8&lt;=8),IF($N8&lt;$M8,2,1),IF($K8&lt;=8,1,IF($L8&lt;=8,2,0)))</f>
        <v>1</v>
      </c>
    </row>
    <row r="9" customFormat="false" ht="15" hidden="false" customHeight="false" outlineLevel="0" collapsed="false">
      <c r="A9" s="14" t="str">
        <f aca="false">"Preços médios levantados em "&amp;Aquecedores!$D$12&amp;"  ·  referenciais  ·  2 aparelhos = em paralelo (não inclui instalação/ponto de gás/exaustão extras)"</f>
        <v>Preços médios levantados em 21/06/2026  ·  referenciais  ·  2 aparelhos = em paralelo (não inclui instalação/ponto de gás/exaustão extras)</v>
      </c>
      <c r="B9" s="14"/>
      <c r="C9" s="14"/>
      <c r="D9" s="14"/>
      <c r="E9" s="14"/>
      <c r="F9" s="14"/>
      <c r="G9" s="14"/>
    </row>
    <row r="11" customFormat="false" ht="15" hidden="false" customHeight="false" outlineLevel="0" collapsed="false">
      <c r="A11" s="3" t="s">
        <v>13</v>
      </c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15" t="s">
        <v>14</v>
      </c>
      <c r="B12" s="16" t="n">
        <v>36</v>
      </c>
      <c r="C12" s="17" t="s">
        <v>15</v>
      </c>
      <c r="D12" s="18" t="s">
        <v>16</v>
      </c>
    </row>
    <row r="13" customFormat="false" ht="15" hidden="false" customHeight="false" outlineLevel="0" collapsed="false">
      <c r="A13" s="15" t="s">
        <v>17</v>
      </c>
      <c r="B13" s="19" t="n">
        <v>40</v>
      </c>
      <c r="C13" s="17" t="s">
        <v>18</v>
      </c>
      <c r="D13" s="18"/>
    </row>
    <row r="14" customFormat="false" ht="15" hidden="false" customHeight="false" outlineLevel="0" collapsed="false">
      <c r="A14" s="15" t="s">
        <v>19</v>
      </c>
      <c r="B14" s="19" t="n">
        <v>20</v>
      </c>
      <c r="C14" s="17" t="s">
        <v>18</v>
      </c>
      <c r="D14" s="18"/>
    </row>
    <row r="15" customFormat="false" ht="15" hidden="false" customHeight="false" outlineLevel="0" collapsed="false">
      <c r="A15" s="15" t="s">
        <v>20</v>
      </c>
      <c r="B15" s="19" t="n">
        <v>50</v>
      </c>
      <c r="C15" s="17" t="s">
        <v>18</v>
      </c>
      <c r="D15" s="18"/>
    </row>
    <row r="16" customFormat="false" ht="15" hidden="false" customHeight="false" outlineLevel="0" collapsed="false">
      <c r="A16" s="15" t="s">
        <v>21</v>
      </c>
      <c r="B16" s="19" t="n">
        <v>1000</v>
      </c>
      <c r="C16" s="17" t="s">
        <v>22</v>
      </c>
      <c r="D16" s="18"/>
    </row>
    <row r="17" customFormat="false" ht="15" hidden="false" customHeight="false" outlineLevel="0" collapsed="false">
      <c r="A17" s="15" t="s">
        <v>23</v>
      </c>
      <c r="B17" s="20" t="n">
        <v>0.9</v>
      </c>
      <c r="C17" s="17" t="s">
        <v>24</v>
      </c>
      <c r="D17" s="18" t="s">
        <v>25</v>
      </c>
    </row>
    <row r="18" customFormat="false" ht="15" hidden="false" customHeight="false" outlineLevel="0" collapsed="false">
      <c r="A18" s="15" t="s">
        <v>26</v>
      </c>
      <c r="B18" s="19" t="n">
        <v>1000</v>
      </c>
      <c r="C18" s="17" t="s">
        <v>22</v>
      </c>
      <c r="D18" s="18"/>
    </row>
    <row r="19" customFormat="false" ht="15" hidden="false" customHeight="false" outlineLevel="0" collapsed="false">
      <c r="A19" s="15" t="s">
        <v>27</v>
      </c>
      <c r="B19" s="19" t="n">
        <v>15</v>
      </c>
      <c r="C19" s="17" t="s">
        <v>28</v>
      </c>
      <c r="D19" s="18"/>
    </row>
    <row r="20" customFormat="false" ht="15" hidden="false" customHeight="false" outlineLevel="0" collapsed="false">
      <c r="A20" s="15" t="s">
        <v>29</v>
      </c>
      <c r="B20" s="19" t="n">
        <v>5</v>
      </c>
      <c r="C20" s="17" t="s">
        <v>18</v>
      </c>
      <c r="D20" s="18" t="s">
        <v>30</v>
      </c>
    </row>
    <row r="21" customFormat="false" ht="15" hidden="false" customHeight="false" outlineLevel="0" collapsed="false">
      <c r="A21" s="15" t="s">
        <v>31</v>
      </c>
      <c r="B21" s="21" t="n">
        <f aca="false">B15-B14</f>
        <v>30</v>
      </c>
      <c r="C21" s="17" t="s">
        <v>18</v>
      </c>
      <c r="D21" s="18" t="s">
        <v>32</v>
      </c>
    </row>
    <row r="23" customFormat="false" ht="15" hidden="false" customHeight="true" outlineLevel="0" collapsed="false">
      <c r="A23" s="3" t="s">
        <v>33</v>
      </c>
      <c r="B23" s="3"/>
      <c r="C23" s="3"/>
      <c r="D23" s="3"/>
      <c r="E23" s="3"/>
      <c r="F23" s="3"/>
      <c r="G23" s="3"/>
      <c r="H23" s="22" t="s">
        <v>34</v>
      </c>
      <c r="I23" s="22"/>
    </row>
    <row r="24" customFormat="false" ht="15" hidden="false" customHeight="false" outlineLevel="0" collapsed="false">
      <c r="A24" s="15" t="s">
        <v>35</v>
      </c>
      <c r="B24" s="23" t="n">
        <f aca="false">B12*(B13-B14)/(B15-B14)</f>
        <v>24</v>
      </c>
      <c r="C24" s="17" t="s">
        <v>15</v>
      </c>
      <c r="D24" s="18" t="s">
        <v>36</v>
      </c>
      <c r="H24" s="24" t="s">
        <v>37</v>
      </c>
      <c r="I24" s="24" t="s">
        <v>38</v>
      </c>
    </row>
    <row r="25" customFormat="false" ht="15" hidden="false" customHeight="false" outlineLevel="0" collapsed="false">
      <c r="A25" s="15" t="s">
        <v>39</v>
      </c>
      <c r="B25" s="25" t="n">
        <f aca="false">B24*B21*60</f>
        <v>43200</v>
      </c>
      <c r="C25" s="17" t="s">
        <v>40</v>
      </c>
      <c r="D25" s="18" t="s">
        <v>41</v>
      </c>
      <c r="H25" s="26" t="s">
        <v>42</v>
      </c>
      <c r="I25" s="26" t="s">
        <v>43</v>
      </c>
    </row>
    <row r="26" customFormat="false" ht="15" hidden="false" customHeight="false" outlineLevel="0" collapsed="false">
      <c r="A26" s="15" t="s">
        <v>44</v>
      </c>
      <c r="B26" s="25" t="n">
        <f aca="false">B25/B21</f>
        <v>1440</v>
      </c>
      <c r="C26" s="17" t="s">
        <v>45</v>
      </c>
      <c r="D26" s="18"/>
      <c r="H26" s="26" t="s">
        <v>46</v>
      </c>
      <c r="I26" s="26" t="s">
        <v>47</v>
      </c>
    </row>
    <row r="27" customFormat="false" ht="15" hidden="false" customHeight="false" outlineLevel="0" collapsed="false">
      <c r="A27" s="15" t="s">
        <v>48</v>
      </c>
      <c r="B27" s="27" t="n">
        <f aca="false">B26/60</f>
        <v>24</v>
      </c>
      <c r="C27" s="17" t="s">
        <v>15</v>
      </c>
      <c r="D27" s="18"/>
      <c r="H27" s="26" t="s">
        <v>49</v>
      </c>
      <c r="I27" s="26" t="s">
        <v>50</v>
      </c>
    </row>
    <row r="28" customFormat="false" ht="15" hidden="false" customHeight="false" outlineLevel="0" collapsed="false">
      <c r="H28" s="26" t="s">
        <v>51</v>
      </c>
      <c r="I28" s="26" t="s">
        <v>52</v>
      </c>
    </row>
    <row r="29" customFormat="false" ht="15" hidden="false" customHeight="false" outlineLevel="0" collapsed="false">
      <c r="A29" s="3" t="s">
        <v>53</v>
      </c>
      <c r="B29" s="3"/>
      <c r="C29" s="3"/>
      <c r="D29" s="3"/>
      <c r="E29" s="3"/>
      <c r="F29" s="3"/>
      <c r="G29" s="3"/>
      <c r="H29" s="26" t="s">
        <v>54</v>
      </c>
      <c r="I29" s="26" t="s">
        <v>55</v>
      </c>
    </row>
    <row r="30" customFormat="false" ht="15" hidden="false" customHeight="false" outlineLevel="0" collapsed="false">
      <c r="A30" s="15" t="s">
        <v>56</v>
      </c>
      <c r="B30" s="25" t="n">
        <f aca="false">B16*(B13-B14)/(B15-B14)</f>
        <v>666.666666666667</v>
      </c>
      <c r="C30" s="17" t="s">
        <v>22</v>
      </c>
      <c r="D30" s="18" t="s">
        <v>57</v>
      </c>
    </row>
    <row r="31" customFormat="false" ht="15" hidden="false" customHeight="false" outlineLevel="0" collapsed="false">
      <c r="A31" s="15" t="s">
        <v>58</v>
      </c>
      <c r="B31" s="25" t="n">
        <f aca="false">B30*B17</f>
        <v>600</v>
      </c>
      <c r="C31" s="17" t="s">
        <v>22</v>
      </c>
      <c r="D31" s="18" t="s">
        <v>59</v>
      </c>
      <c r="H31" s="28" t="s">
        <v>60</v>
      </c>
    </row>
    <row r="32" customFormat="false" ht="15" hidden="false" customHeight="false" outlineLevel="0" collapsed="false">
      <c r="A32" s="15" t="s">
        <v>38</v>
      </c>
      <c r="B32" s="29" t="n">
        <f aca="false">IF(B31&lt;=1500,1/3,IF(B31&lt;=6000,1/4,IF(B31&lt;=12000,1/5,IF(B31&lt;=20000,1/6,1/7))))</f>
        <v>0.333333333333333</v>
      </c>
      <c r="C32" s="17" t="s">
        <v>24</v>
      </c>
      <c r="D32" s="18" t="s">
        <v>61</v>
      </c>
    </row>
    <row r="33" customFormat="false" ht="15" hidden="false" customHeight="false" outlineLevel="0" collapsed="false">
      <c r="A33" s="15" t="s">
        <v>62</v>
      </c>
      <c r="B33" s="25" t="n">
        <f aca="false">B31*B32</f>
        <v>200</v>
      </c>
      <c r="C33" s="17" t="s">
        <v>22</v>
      </c>
      <c r="D33" s="18" t="s">
        <v>63</v>
      </c>
    </row>
    <row r="34" customFormat="false" ht="15" hidden="false" customHeight="false" outlineLevel="0" collapsed="false">
      <c r="A34" s="15" t="s">
        <v>64</v>
      </c>
      <c r="B34" s="25" t="n">
        <f aca="false">B31-B33</f>
        <v>400</v>
      </c>
      <c r="C34" s="17" t="s">
        <v>22</v>
      </c>
      <c r="D34" s="18" t="s">
        <v>65</v>
      </c>
    </row>
    <row r="35" customFormat="false" ht="15" hidden="false" customHeight="false" outlineLevel="0" collapsed="false">
      <c r="A35" s="15" t="s">
        <v>39</v>
      </c>
      <c r="B35" s="25" t="n">
        <f aca="false">B34*B21</f>
        <v>12000</v>
      </c>
      <c r="C35" s="17" t="s">
        <v>40</v>
      </c>
      <c r="D35" s="18" t="s">
        <v>66</v>
      </c>
    </row>
    <row r="36" customFormat="false" ht="15" hidden="false" customHeight="false" outlineLevel="0" collapsed="false">
      <c r="A36" s="15" t="s">
        <v>44</v>
      </c>
      <c r="B36" s="25" t="n">
        <f aca="false">B35/B21</f>
        <v>400</v>
      </c>
      <c r="C36" s="17" t="s">
        <v>45</v>
      </c>
      <c r="D36" s="18"/>
    </row>
    <row r="37" customFormat="false" ht="15" hidden="false" customHeight="false" outlineLevel="0" collapsed="false">
      <c r="A37" s="15" t="s">
        <v>67</v>
      </c>
      <c r="B37" s="27" t="n">
        <f aca="false">B36/60</f>
        <v>6.66666666666667</v>
      </c>
      <c r="C37" s="17" t="s">
        <v>15</v>
      </c>
      <c r="D37" s="18"/>
    </row>
    <row r="39" customFormat="false" ht="15" hidden="false" customHeight="false" outlineLevel="0" collapsed="false">
      <c r="A39" s="3" t="s">
        <v>68</v>
      </c>
      <c r="B39" s="3"/>
      <c r="C39" s="3"/>
      <c r="D39" s="3"/>
      <c r="E39" s="3"/>
      <c r="F39" s="3"/>
      <c r="G39" s="3"/>
    </row>
    <row r="40" customFormat="false" ht="15" hidden="false" customHeight="false" outlineLevel="0" collapsed="false">
      <c r="A40" s="15" t="s">
        <v>69</v>
      </c>
      <c r="B40" s="23" t="n">
        <f aca="false">B18*B20/(B12*(B13-B14))</f>
        <v>6.94444444444445</v>
      </c>
      <c r="C40" s="17" t="s">
        <v>28</v>
      </c>
      <c r="D40" s="18" t="s">
        <v>70</v>
      </c>
    </row>
    <row r="41" customFormat="false" ht="15" hidden="false" customHeight="false" outlineLevel="0" collapsed="false">
      <c r="A41" s="15" t="s">
        <v>39</v>
      </c>
      <c r="B41" s="25" t="n">
        <f aca="false">IF((B19-B40)&lt;=0,0,MAX(0,60*(B12*(B13-B14)-B18*(B15-B20-B13)/(B19-B40))))</f>
        <v>5958.62068965517</v>
      </c>
      <c r="C41" s="17" t="s">
        <v>40</v>
      </c>
      <c r="D41" s="18" t="s">
        <v>71</v>
      </c>
    </row>
    <row r="42" customFormat="false" ht="15" hidden="false" customHeight="false" outlineLevel="0" collapsed="false">
      <c r="A42" s="15" t="s">
        <v>44</v>
      </c>
      <c r="B42" s="25" t="n">
        <f aca="false">B41/B21</f>
        <v>198.620689655172</v>
      </c>
      <c r="C42" s="17" t="s">
        <v>45</v>
      </c>
      <c r="D42" s="18"/>
    </row>
    <row r="43" customFormat="false" ht="15" hidden="false" customHeight="false" outlineLevel="0" collapsed="false">
      <c r="A43" s="15" t="s">
        <v>72</v>
      </c>
      <c r="B43" s="27" t="n">
        <f aca="false">B42/60</f>
        <v>3.31034482758621</v>
      </c>
      <c r="C43" s="17" t="s">
        <v>15</v>
      </c>
      <c r="D43" s="18"/>
    </row>
    <row r="45" customFormat="false" ht="15" hidden="false" customHeight="false" outlineLevel="0" collapsed="false">
      <c r="A45" s="3" t="s">
        <v>73</v>
      </c>
      <c r="B45" s="3"/>
      <c r="C45" s="3"/>
      <c r="D45" s="3"/>
      <c r="E45" s="3"/>
      <c r="F45" s="3"/>
      <c r="G45" s="3"/>
    </row>
    <row r="46" customFormat="false" ht="15" hidden="false" customHeight="false" outlineLevel="0" collapsed="false">
      <c r="A46" s="30" t="s">
        <v>10</v>
      </c>
      <c r="B46" s="27" t="n">
        <f aca="false">B27</f>
        <v>24</v>
      </c>
      <c r="C46" s="17" t="s">
        <v>15</v>
      </c>
    </row>
    <row r="47" customFormat="false" ht="15" hidden="false" customHeight="false" outlineLevel="0" collapsed="false">
      <c r="A47" s="30" t="s">
        <v>11</v>
      </c>
      <c r="B47" s="27" t="n">
        <f aca="false">B37</f>
        <v>6.66666666666667</v>
      </c>
      <c r="C47" s="17" t="s">
        <v>15</v>
      </c>
    </row>
    <row r="48" customFormat="false" ht="15" hidden="false" customHeight="false" outlineLevel="0" collapsed="false">
      <c r="A48" s="30" t="s">
        <v>12</v>
      </c>
      <c r="B48" s="27" t="n">
        <f aca="false">B43</f>
        <v>3.31034482758621</v>
      </c>
      <c r="C48" s="17" t="s">
        <v>15</v>
      </c>
    </row>
  </sheetData>
  <mergeCells count="10">
    <mergeCell ref="A1:G1"/>
    <mergeCell ref="A2:G2"/>
    <mergeCell ref="A4:G4"/>
    <mergeCell ref="A9:G9"/>
    <mergeCell ref="A11:G11"/>
    <mergeCell ref="A23:G23"/>
    <mergeCell ref="H23:I23"/>
    <mergeCell ref="A29:G29"/>
    <mergeCell ref="A39:G39"/>
    <mergeCell ref="A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9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24" hidden="false" customHeight="true" outlineLevel="0" collapsed="false">
      <c r="B1" s="1" t="s">
        <v>74</v>
      </c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B2" s="4" t="s">
        <v>75</v>
      </c>
      <c r="C2" s="4" t="s">
        <v>76</v>
      </c>
      <c r="D2" s="4" t="s">
        <v>77</v>
      </c>
      <c r="E2" s="4" t="s">
        <v>78</v>
      </c>
      <c r="F2" s="4" t="s">
        <v>79</v>
      </c>
      <c r="G2" s="4" t="s">
        <v>80</v>
      </c>
      <c r="H2" s="4" t="s">
        <v>81</v>
      </c>
    </row>
    <row r="3" customFormat="false" ht="15" hidden="false" customHeight="false" outlineLevel="0" collapsed="false">
      <c r="B3" s="31" t="s">
        <v>82</v>
      </c>
      <c r="C3" s="23" t="n">
        <v>10</v>
      </c>
      <c r="D3" s="25" t="n">
        <v>14500</v>
      </c>
      <c r="E3" s="23" t="n">
        <v>16.8</v>
      </c>
      <c r="F3" s="32" t="n">
        <v>0.86</v>
      </c>
      <c r="G3" s="33" t="n">
        <v>1549</v>
      </c>
      <c r="H3" s="34" t="n">
        <f aca="false">D3*F3</f>
        <v>12470</v>
      </c>
    </row>
    <row r="4" customFormat="false" ht="15" hidden="false" customHeight="false" outlineLevel="0" collapsed="false">
      <c r="B4" s="31" t="s">
        <v>83</v>
      </c>
      <c r="C4" s="23" t="n">
        <v>15</v>
      </c>
      <c r="D4" s="25" t="n">
        <v>21000</v>
      </c>
      <c r="E4" s="23" t="n">
        <v>24.4</v>
      </c>
      <c r="F4" s="32" t="n">
        <v>0.86</v>
      </c>
      <c r="G4" s="33" t="n">
        <v>1900</v>
      </c>
      <c r="H4" s="34" t="n">
        <f aca="false">D4*F4</f>
        <v>18060</v>
      </c>
    </row>
    <row r="5" customFormat="false" ht="15" hidden="false" customHeight="false" outlineLevel="0" collapsed="false">
      <c r="B5" s="31" t="s">
        <v>84</v>
      </c>
      <c r="C5" s="23" t="n">
        <v>17</v>
      </c>
      <c r="D5" s="25" t="n">
        <v>23800</v>
      </c>
      <c r="E5" s="23" t="n">
        <v>27.7</v>
      </c>
      <c r="F5" s="32" t="n">
        <v>0.86</v>
      </c>
      <c r="G5" s="33" t="n">
        <v>2499</v>
      </c>
      <c r="H5" s="34" t="n">
        <f aca="false">D5*F5</f>
        <v>20468</v>
      </c>
    </row>
    <row r="6" customFormat="false" ht="15" hidden="false" customHeight="false" outlineLevel="0" collapsed="false">
      <c r="B6" s="31" t="s">
        <v>85</v>
      </c>
      <c r="C6" s="23" t="n">
        <v>21</v>
      </c>
      <c r="D6" s="25" t="n">
        <v>29000</v>
      </c>
      <c r="E6" s="23" t="n">
        <v>33.7</v>
      </c>
      <c r="F6" s="32" t="n">
        <v>0.86</v>
      </c>
      <c r="G6" s="33" t="n">
        <v>2999</v>
      </c>
      <c r="H6" s="34" t="n">
        <f aca="false">D6*F6</f>
        <v>24940</v>
      </c>
    </row>
    <row r="7" customFormat="false" ht="15" hidden="false" customHeight="false" outlineLevel="0" collapsed="false">
      <c r="B7" s="31" t="s">
        <v>86</v>
      </c>
      <c r="C7" s="23" t="n">
        <v>27</v>
      </c>
      <c r="D7" s="25" t="n">
        <v>37700</v>
      </c>
      <c r="E7" s="23" t="n">
        <v>43.8</v>
      </c>
      <c r="F7" s="32" t="n">
        <v>0.86</v>
      </c>
      <c r="G7" s="33" t="n">
        <v>3540</v>
      </c>
      <c r="H7" s="34" t="n">
        <f aca="false">D7*F7</f>
        <v>32422</v>
      </c>
    </row>
    <row r="8" customFormat="false" ht="15" hidden="false" customHeight="false" outlineLevel="0" collapsed="false">
      <c r="B8" s="31" t="s">
        <v>87</v>
      </c>
      <c r="C8" s="23" t="n">
        <v>32.5</v>
      </c>
      <c r="D8" s="25" t="n">
        <v>45300</v>
      </c>
      <c r="E8" s="23" t="n">
        <v>52.7</v>
      </c>
      <c r="F8" s="32" t="n">
        <v>0.86</v>
      </c>
      <c r="G8" s="33" t="n">
        <v>4409</v>
      </c>
      <c r="H8" s="34" t="n">
        <f aca="false">D8*F8</f>
        <v>38958</v>
      </c>
    </row>
    <row r="9" customFormat="false" ht="15" hidden="false" customHeight="false" outlineLevel="0" collapsed="false">
      <c r="B9" s="31" t="s">
        <v>88</v>
      </c>
      <c r="C9" s="23" t="n">
        <v>35</v>
      </c>
      <c r="D9" s="25" t="n">
        <v>49130</v>
      </c>
      <c r="E9" s="23" t="n">
        <v>57.1</v>
      </c>
      <c r="F9" s="32" t="n">
        <v>0.85</v>
      </c>
      <c r="G9" s="33" t="n">
        <v>4735</v>
      </c>
      <c r="H9" s="34" t="n">
        <f aca="false">D9*F9</f>
        <v>41760.5</v>
      </c>
    </row>
    <row r="10" customFormat="false" ht="15" hidden="false" customHeight="false" outlineLevel="0" collapsed="false">
      <c r="B10" s="31" t="s">
        <v>89</v>
      </c>
      <c r="C10" s="23" t="n">
        <v>45</v>
      </c>
      <c r="D10" s="25" t="n">
        <v>62800</v>
      </c>
      <c r="E10" s="23" t="n">
        <v>73</v>
      </c>
      <c r="F10" s="32" t="n">
        <v>0.86</v>
      </c>
      <c r="G10" s="33" t="n">
        <v>10470</v>
      </c>
      <c r="H10" s="34" t="n">
        <f aca="false">D10*F10</f>
        <v>54008</v>
      </c>
    </row>
    <row r="12" customFormat="false" ht="15" hidden="false" customHeight="false" outlineLevel="0" collapsed="false">
      <c r="B12" s="35" t="s">
        <v>90</v>
      </c>
      <c r="D12" s="36" t="s">
        <v>91</v>
      </c>
    </row>
    <row r="13" customFormat="false" ht="15" hidden="false" customHeight="false" outlineLevel="0" collapsed="false">
      <c r="B13" s="37" t="s">
        <v>92</v>
      </c>
      <c r="C13" s="37"/>
      <c r="D13" s="37"/>
      <c r="E13" s="37"/>
      <c r="F13" s="37"/>
      <c r="G13" s="37"/>
      <c r="H13" s="37"/>
    </row>
  </sheetData>
  <mergeCells count="2">
    <mergeCell ref="B1:H1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2026-07-11T22:35:15Z</dcterms:created>
  <dc:creator>openpyxl</dc:creator>
  <dc:description/>
  <dc:language>en-US</dc:language>
  <cp:lastModifiedBy/>
  <dcterms:modified xsi:type="dcterms:W3CDTF">2026-07-11T22:35:15Z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