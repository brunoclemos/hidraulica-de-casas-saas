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Joao Paulo\Downloads\"/>
    </mc:Choice>
  </mc:AlternateContent>
  <xr:revisionPtr revIDLastSave="0" documentId="13_ncr:1_{41777C56-3AA6-462B-A3B7-A0397533A41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álculo" sheetId="1" r:id="rId1"/>
    <sheet name="Aquecedores" sheetId="2" r:id="rId2"/>
  </sheets>
  <definedNames>
    <definedName name="_xlnm.Print_Area" localSheetId="0">Cálculo!$A$1:$I$46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2" l="1"/>
  <c r="H9" i="2"/>
  <c r="H8" i="2"/>
  <c r="H7" i="2"/>
  <c r="H6" i="2"/>
  <c r="H5" i="2"/>
  <c r="H4" i="2"/>
  <c r="H3" i="2"/>
  <c r="B39" i="1"/>
  <c r="B8" i="1" s="1"/>
  <c r="B29" i="1"/>
  <c r="B30" i="1" s="1"/>
  <c r="B23" i="1"/>
  <c r="B20" i="1"/>
  <c r="B24" i="1" s="1"/>
  <c r="A9" i="1"/>
  <c r="B25" i="1" l="1"/>
  <c r="B26" i="1" s="1"/>
  <c r="B44" i="1" s="1"/>
  <c r="B6" i="1"/>
  <c r="B31" i="1"/>
  <c r="B32" i="1" s="1"/>
  <c r="B33" i="1" s="1"/>
  <c r="B34" i="1" s="1"/>
  <c r="L8" i="1"/>
  <c r="N8" i="1" s="1"/>
  <c r="K8" i="1"/>
  <c r="B40" i="1"/>
  <c r="B41" i="1" s="1"/>
  <c r="B46" i="1" s="1"/>
  <c r="B7" i="1" l="1"/>
  <c r="B35" i="1"/>
  <c r="B36" i="1" s="1"/>
  <c r="B45" i="1" s="1"/>
  <c r="K6" i="1"/>
  <c r="L6" i="1"/>
  <c r="N6" i="1" s="1"/>
  <c r="M8" i="1"/>
  <c r="O8" i="1" s="1"/>
  <c r="G8" i="1" l="1"/>
  <c r="F8" i="1"/>
  <c r="E8" i="1"/>
  <c r="D8" i="1"/>
  <c r="C8" i="1"/>
  <c r="M6" i="1"/>
  <c r="O6" i="1" s="1"/>
  <c r="L7" i="1"/>
  <c r="N7" i="1" s="1"/>
  <c r="K7" i="1"/>
  <c r="E6" i="1" l="1"/>
  <c r="D6" i="1"/>
  <c r="G6" i="1"/>
  <c r="F6" i="1"/>
  <c r="C6" i="1"/>
  <c r="M7" i="1"/>
  <c r="O7" i="1" s="1"/>
  <c r="F7" i="1" l="1"/>
  <c r="E7" i="1"/>
  <c r="D7" i="1"/>
  <c r="C7" i="1"/>
  <c r="G7" i="1"/>
</calcChain>
</file>

<file path=xl/sharedStrings.xml><?xml version="1.0" encoding="utf-8"?>
<sst xmlns="http://schemas.openxmlformats.org/spreadsheetml/2006/main" count="117" uniqueCount="89">
  <si>
    <t>Dimensionamento — Apoio à Gás</t>
  </si>
  <si>
    <t>Vazão do sistema (3 métodos) + seleção de aquecedor  ·  @ferretoengenharia</t>
  </si>
  <si>
    <t>► PAINEL DE SELEÇÃO DO AQUECEDOR — CUSTO × BENEFÍCIO</t>
  </si>
  <si>
    <t>Método</t>
  </si>
  <si>
    <t>Pot. útil necessária (kcal/h)</t>
  </si>
  <si>
    <t>Arranjo recomendado</t>
  </si>
  <si>
    <t>Preço</t>
  </si>
  <si>
    <t>Pot. útil do arranjo (kcal/h)</t>
  </si>
  <si>
    <t>Pot. nominal do arranjo (kcal/h)</t>
  </si>
  <si>
    <t>Alternativa (quando vale a pena)</t>
  </si>
  <si>
    <t>Vazão Máxima Provável (V.M.P)</t>
  </si>
  <si>
    <t>NBR 16057</t>
  </si>
  <si>
    <t>Tempo Determinado (T.D)</t>
  </si>
  <si>
    <t>DADOS DE ENTRADA  (edite as células amarelas)</t>
  </si>
  <si>
    <t>VB — vazão de uso</t>
  </si>
  <si>
    <t>l/min</t>
  </si>
  <si>
    <t>ex.: 3 banhos ~ 12 l/min cada</t>
  </si>
  <si>
    <t>TB — temp. de uso</t>
  </si>
  <si>
    <t>°C</t>
  </si>
  <si>
    <t>TAF — temp. água fria</t>
  </si>
  <si>
    <t>TAQ — temp. do boiler</t>
  </si>
  <si>
    <t>V consumo diário (NBR)</t>
  </si>
  <si>
    <t>L</t>
  </si>
  <si>
    <t>FS — simultaneidade (NBR)</t>
  </si>
  <si>
    <t>—</t>
  </si>
  <si>
    <t>0,9 p/ unidade habitacional</t>
  </si>
  <si>
    <t>V — volume do boiler (T.D)</t>
  </si>
  <si>
    <t>t — tempo analisado (T.D)</t>
  </si>
  <si>
    <t>min</t>
  </si>
  <si>
    <t>ΔT = TAQ − TAF</t>
  </si>
  <si>
    <t>calculado</t>
  </si>
  <si>
    <t>MÉTODO 1 — VAZÃO MÁXIMA PROVÁVEL (V.M.P)</t>
  </si>
  <si>
    <t>Tabela C.1 — F armaz</t>
  </si>
  <si>
    <t>VAQ</t>
  </si>
  <si>
    <t>ƒ: VB × (TB−TAF)/(TAQ−TAF)</t>
  </si>
  <si>
    <t>V pico (L)</t>
  </si>
  <si>
    <t>F armaz</t>
  </si>
  <si>
    <t>P (potência útil)</t>
  </si>
  <si>
    <t>kcal/h</t>
  </si>
  <si>
    <t>ƒ: VAQ × ΔT × 60</t>
  </si>
  <si>
    <t>0 a 1 500</t>
  </si>
  <si>
    <t>1/3</t>
  </si>
  <si>
    <t>vazão (l/h)</t>
  </si>
  <si>
    <t>l/h</t>
  </si>
  <si>
    <t>1 501 a 6 000</t>
  </si>
  <si>
    <t>1/4</t>
  </si>
  <si>
    <t>► Vazão V.M.P</t>
  </si>
  <si>
    <t>6 001 a 12 000</t>
  </si>
  <si>
    <t>1/5</t>
  </si>
  <si>
    <t>12 001 a 20 000</t>
  </si>
  <si>
    <t>1/6</t>
  </si>
  <si>
    <t>MÉTODO 2 — NBR 16057 (SAAG)</t>
  </si>
  <si>
    <t>&gt; 20 001</t>
  </si>
  <si>
    <t>1/7</t>
  </si>
  <si>
    <t>V corrigido</t>
  </si>
  <si>
    <t>ƒ: Vcons × (TB−TAF)/(TAQ−TAF)</t>
  </si>
  <si>
    <t>V pico</t>
  </si>
  <si>
    <t>ƒ: V corrigido × FS</t>
  </si>
  <si>
    <t>ABNT NBR 16057:2024, Anexo C</t>
  </si>
  <si>
    <t>Tabela C.1 (por V pico)</t>
  </si>
  <si>
    <t>V armaz. gás</t>
  </si>
  <si>
    <t>ƒ: V pico × F armaz</t>
  </si>
  <si>
    <t>V recup.</t>
  </si>
  <si>
    <t>ƒ: V pico − V armaz. gás</t>
  </si>
  <si>
    <t>ƒ: V recup. × ΔT</t>
  </si>
  <si>
    <t>► Vazão NBR 16057</t>
  </si>
  <si>
    <t>MÉTODO 3 — TEMPO DETERMINADO (T.D)</t>
  </si>
  <si>
    <t>ƒ: [(VB×(TB−TAF)×t) − (V×(TAQ−TB))]×60/t</t>
  </si>
  <si>
    <t>► Vazão Tempo Determinado</t>
  </si>
  <si>
    <t>RESUMO — VAZÕES DO SISTEMA</t>
  </si>
  <si>
    <t>AQUECEDORES RINNAI — CATÁLOGO DE REFERÊNCIA</t>
  </si>
  <si>
    <t>Modelo</t>
  </si>
  <si>
    <t>Vazão (L/min)</t>
  </si>
  <si>
    <t>Pot. nominal (kcal/h)</t>
  </si>
  <si>
    <t>Pot. (kW)</t>
  </si>
  <si>
    <t>Rendimento</t>
  </si>
  <si>
    <t>Preço médio (R$)</t>
  </si>
  <si>
    <t>Pot. útil (kcal/h)</t>
  </si>
  <si>
    <t>RINNAI E10</t>
  </si>
  <si>
    <t>RINNAI E15</t>
  </si>
  <si>
    <t>RINNAI E17</t>
  </si>
  <si>
    <t>RINNAI E21</t>
  </si>
  <si>
    <t>RINNAI E27</t>
  </si>
  <si>
    <t>RINNAI E33</t>
  </si>
  <si>
    <t>RINNAI E35</t>
  </si>
  <si>
    <t>RINNAI E43</t>
  </si>
  <si>
    <t>Preços levantados em:</t>
  </si>
  <si>
    <t>21/06/2026</t>
  </si>
  <si>
    <t>Valores médios de mercado, de caráter referencial. Atualize a data ao revisar os preços.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</si>
</sst>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"/>
    <numFmt numFmtId="165" formatCode="0.0"/>
    <numFmt numFmtId="166" formatCode="0.000"/>
  </numFmts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1E6B2F"/>
      <name val="Arial"/>
      <charset val="1"/>
    </font>
    <font>
      <b/>
      <sz val="10"/>
      <color rgb="FF000000"/>
      <name val="Arial"/>
      <charset val="1"/>
    </font>
    <font>
      <i/>
      <sz val="9"/>
      <color rgb="FF606060"/>
      <name val="Arial"/>
      <charset val="1"/>
    </font>
    <font>
      <i/>
      <sz val="8"/>
      <color rgb="FF808080"/>
      <name val="Arial"/>
      <charset val="1"/>
    </font>
    <font>
      <b/>
      <sz val="10"/>
      <color rgb="FF0000FF"/>
      <name val="Arial"/>
      <charset val="1"/>
    </font>
    <font>
      <sz val="9"/>
      <color rgb="FF80808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B26A00"/>
      <name val="Arial"/>
      <charset val="1"/>
    </font>
    <font>
      <b/>
      <sz val="10"/>
      <color rgb="FF1F4E78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E6A817"/>
        <bgColor rgb="FFFFCC00"/>
      </patternFill>
    </fill>
    <fill>
      <patternFill patternType="solid">
        <fgColor rgb="FF1F4E78"/>
        <bgColor rgb="FF003366"/>
      </patternFill>
    </fill>
    <fill>
      <patternFill patternType="solid">
        <fgColor rgb="FFE3F2E5"/>
        <bgColor rgb="FFF2F2F2"/>
      </patternFill>
    </fill>
    <fill>
      <patternFill patternType="solid">
        <fgColor rgb="FFF2F2F2"/>
        <bgColor rgb="FFE3F2E5"/>
      </patternFill>
    </fill>
    <fill>
      <patternFill patternType="solid">
        <fgColor rgb="FFFFF3B0"/>
        <bgColor rgb="FFFDE9C0"/>
      </patternFill>
    </fill>
    <fill>
      <patternFill patternType="solid">
        <fgColor rgb="FFFDE9C0"/>
        <bgColor rgb="FFFFF3B0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0" fillId="0" borderId="0" xfId="0" applyFont="1"/>
    <xf numFmtId="0" fontId="3" fillId="3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" fontId="0" fillId="0" borderId="0" xfId="0" applyNumberFormat="1"/>
    <xf numFmtId="164" fontId="0" fillId="0" borderId="0" xfId="0" applyNumberFormat="1"/>
    <xf numFmtId="0" fontId="6" fillId="0" borderId="1" xfId="0" applyFont="1" applyBorder="1" applyAlignment="1">
      <alignment horizontal="left" vertical="center"/>
    </xf>
    <xf numFmtId="165" fontId="11" fillId="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11" fillId="7" borderId="1" xfId="0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5" fontId="15" fillId="8" borderId="1" xfId="0" applyNumberFormat="1" applyFont="1" applyFill="1" applyBorder="1" applyAlignment="1">
      <alignment horizontal="center" vertical="center"/>
    </xf>
    <xf numFmtId="0" fontId="10" fillId="0" borderId="0" xfId="0" applyFont="1"/>
    <xf numFmtId="16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B26A00"/>
      <rgbColor rgb="FF800080"/>
      <rgbColor rgb="FF008080"/>
      <rgbColor rgb="FFC8C8C8"/>
      <rgbColor rgb="FF808080"/>
      <rgbColor rgb="FF9999FF"/>
      <rgbColor rgb="FF993366"/>
      <rgbColor rgb="FFFDE9C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5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817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showGridLines="0" tabSelected="1" zoomScaleNormal="100" workbookViewId="0">
      <pane ySplit="9" topLeftCell="A37" activePane="bottomLeft" state="frozen"/>
      <selection pane="bottomLeft" activeCell="D46" sqref="D46"/>
    </sheetView>
  </sheetViews>
  <sheetFormatPr defaultColWidth="8.6640625" defaultRowHeight="14.4" x14ac:dyDescent="0.3"/>
  <cols>
    <col min="1" max="1" width="32.21875" bestFit="1" customWidth="1"/>
    <col min="2" max="2" width="14" customWidth="1"/>
    <col min="3" max="3" width="18" customWidth="1"/>
    <col min="4" max="4" width="13" customWidth="1"/>
    <col min="5" max="6" width="16" customWidth="1"/>
    <col min="7" max="7" width="32" customWidth="1"/>
    <col min="8" max="8" width="16" customWidth="1"/>
    <col min="9" max="9" width="9" customWidth="1"/>
    <col min="11" max="12" width="6" hidden="1" customWidth="1"/>
    <col min="13" max="14" width="8" hidden="1" customWidth="1"/>
    <col min="15" max="15" width="5" hidden="1" customWidth="1"/>
  </cols>
  <sheetData>
    <row r="1" spans="1:15" ht="24" customHeight="1" x14ac:dyDescent="0.3">
      <c r="A1" s="6" t="s">
        <v>0</v>
      </c>
      <c r="B1" s="6"/>
      <c r="C1" s="6"/>
      <c r="D1" s="6"/>
      <c r="E1" s="6"/>
      <c r="F1" s="6"/>
      <c r="G1" s="6"/>
    </row>
    <row r="2" spans="1:15" ht="15" customHeight="1" x14ac:dyDescent="0.3">
      <c r="A2" s="5" t="s">
        <v>1</v>
      </c>
      <c r="B2" s="5"/>
      <c r="C2" s="5"/>
      <c r="D2" s="5"/>
      <c r="E2" s="5"/>
      <c r="F2" s="5"/>
      <c r="G2" s="5"/>
    </row>
    <row r="4" spans="1:15" x14ac:dyDescent="0.3">
      <c r="A4" s="4" t="s">
        <v>2</v>
      </c>
      <c r="B4" s="4"/>
      <c r="C4" s="4"/>
      <c r="D4" s="4"/>
      <c r="E4" s="4"/>
      <c r="F4" s="4"/>
      <c r="G4" s="4"/>
    </row>
    <row r="5" spans="1:15" ht="42" customHeight="1" x14ac:dyDescent="0.3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15" ht="21.75" customHeight="1" x14ac:dyDescent="0.3">
      <c r="A6" s="8" t="s">
        <v>10</v>
      </c>
      <c r="B6" s="9">
        <f>B24</f>
        <v>43200</v>
      </c>
      <c r="C6" s="10" t="str">
        <f>IF($O6=0,"sem opção",IF($O6=1,"✓ 1× "&amp;SUBSTITUTE(INDEX(Aquecedores!$B$3:$B$10,$K6),"RINNAI ",""),"✓ 2× "&amp;SUBSTITUTE(INDEX(Aquecedores!$B$3:$B$10,$L6),"RINNAI ","")))</f>
        <v>✓ 2× E21</v>
      </c>
      <c r="D6" s="11">
        <f>IF($O6=1,$M6,IF($O6=2,$N6,""))</f>
        <v>5998</v>
      </c>
      <c r="E6" s="12">
        <f>IF($O6=1,INDEX(Aquecedores!$H$3:$H$10,$K6),IF($O6=2,2*INDEX(Aquecedores!$H$3:$H$10,$L6),""))</f>
        <v>49880</v>
      </c>
      <c r="F6" s="9">
        <f>IF($O6=1,INDEX(Aquecedores!$D$3:$D$10,$K6),IF($O6=2,2*INDEX(Aquecedores!$D$3:$D$10,$L6),""))</f>
        <v>58000</v>
      </c>
      <c r="G6" s="13" t="str">
        <f>IF(AND($O6=2,$K6&lt;=8),"1× "&amp;SUBSTITUTE(INDEX(Aquecedores!$B$3:$B$10,$K6),"RINNAI ","")&amp;"  ·  +R$ "&amp;TEXT($M6-$N6,"#,##0")&amp;"  (1 aparelho)","—")</f>
        <v>1× E43  ·  +R$ 4472,0  (1 aparelho)</v>
      </c>
      <c r="K6" s="14">
        <f>SUMPRODUCT((Aquecedores!$H$3:$H$10&lt;$B6)*1)+1</f>
        <v>8</v>
      </c>
      <c r="L6" s="14">
        <f>SUMPRODUCT((Aquecedores!$H$3:$H$10&lt;$B6/2)*1)+1</f>
        <v>4</v>
      </c>
      <c r="M6" s="15">
        <f>IFERROR(INDEX(Aquecedores!$G$3:$G$10,$K6),"")</f>
        <v>10470</v>
      </c>
      <c r="N6">
        <f>IFERROR(2*INDEX(Aquecedores!$G$3:$G$10,$L6),"")</f>
        <v>5998</v>
      </c>
      <c r="O6">
        <f>IF(AND($K6&lt;=8,$L6&lt;=8),IF($N6&lt;$M6,2,1),IF($K6&lt;=8,1,IF($L6&lt;=8,2,0)))</f>
        <v>2</v>
      </c>
    </row>
    <row r="7" spans="1:15" ht="21.75" customHeight="1" x14ac:dyDescent="0.3">
      <c r="A7" s="8" t="s">
        <v>11</v>
      </c>
      <c r="B7" s="9">
        <f>B34</f>
        <v>12000</v>
      </c>
      <c r="C7" s="10" t="str">
        <f>IF($O7=0,"sem opção",IF($O7=1,"✓ 1× "&amp;SUBSTITUTE(INDEX(Aquecedores!$B$3:$B$10,$K7),"RINNAI ",""),"✓ 2× "&amp;SUBSTITUTE(INDEX(Aquecedores!$B$3:$B$10,$L7),"RINNAI ","")))</f>
        <v>✓ 1× E10</v>
      </c>
      <c r="D7" s="11">
        <f>IF($O7=1,$M7,IF($O7=2,$N7,""))</f>
        <v>1549</v>
      </c>
      <c r="E7" s="12">
        <f>IF($O7=1,INDEX(Aquecedores!$H$3:$H$10,$K7),IF($O7=2,2*INDEX(Aquecedores!$H$3:$H$10,$L7),""))</f>
        <v>12470</v>
      </c>
      <c r="F7" s="9">
        <f>IF($O7=1,INDEX(Aquecedores!$D$3:$D$10,$K7),IF($O7=2,2*INDEX(Aquecedores!$D$3:$D$10,$L7),""))</f>
        <v>14500</v>
      </c>
      <c r="G7" s="13" t="str">
        <f>IF(AND($O7=2,$K7&lt;=8),"1× "&amp;SUBSTITUTE(INDEX(Aquecedores!$B$3:$B$10,$K7),"RINNAI ","")&amp;"  ·  +R$ "&amp;TEXT($M7-$N7,"#,##0")&amp;"  (1 aparelho)","—")</f>
        <v>—</v>
      </c>
      <c r="K7" s="14">
        <f>SUMPRODUCT((Aquecedores!$H$3:$H$10&lt;$B7)*1)+1</f>
        <v>1</v>
      </c>
      <c r="L7" s="14">
        <f>SUMPRODUCT((Aquecedores!$H$3:$H$10&lt;$B7/2)*1)+1</f>
        <v>1</v>
      </c>
      <c r="M7" s="15">
        <f>IFERROR(INDEX(Aquecedores!$G$3:$G$10,$K7),"")</f>
        <v>1549</v>
      </c>
      <c r="N7">
        <f>IFERROR(2*INDEX(Aquecedores!$G$3:$G$10,$L7),"")</f>
        <v>3098</v>
      </c>
      <c r="O7">
        <f>IF(AND($K7&lt;=8,$L7&lt;=8),IF($N7&lt;$M7,2,1),IF($K7&lt;=8,1,IF($L7&lt;=8,2,0)))</f>
        <v>1</v>
      </c>
    </row>
    <row r="8" spans="1:15" ht="21.75" customHeight="1" x14ac:dyDescent="0.3">
      <c r="A8" s="8" t="s">
        <v>12</v>
      </c>
      <c r="B8" s="9">
        <f>B39</f>
        <v>3200</v>
      </c>
      <c r="C8" s="10" t="str">
        <f>IF($O8=0,"sem opção",IF($O8=1,"✓ 1× "&amp;SUBSTITUTE(INDEX(Aquecedores!$B$3:$B$10,$K8),"RINNAI ",""),"✓ 2× "&amp;SUBSTITUTE(INDEX(Aquecedores!$B$3:$B$10,$L8),"RINNAI ","")))</f>
        <v>✓ 1× E10</v>
      </c>
      <c r="D8" s="11">
        <f>IF($O8=1,$M8,IF($O8=2,$N8,""))</f>
        <v>1549</v>
      </c>
      <c r="E8" s="12">
        <f>IF($O8=1,INDEX(Aquecedores!$H$3:$H$10,$K8),IF($O8=2,2*INDEX(Aquecedores!$H$3:$H$10,$L8),""))</f>
        <v>12470</v>
      </c>
      <c r="F8" s="9">
        <f>IF($O8=1,INDEX(Aquecedores!$D$3:$D$10,$K8),IF($O8=2,2*INDEX(Aquecedores!$D$3:$D$10,$L8),""))</f>
        <v>14500</v>
      </c>
      <c r="G8" s="13" t="str">
        <f>IF(AND($O8=2,$K8&lt;=8),"1× "&amp;SUBSTITUTE(INDEX(Aquecedores!$B$3:$B$10,$K8),"RINNAI ","")&amp;"  ·  +R$ "&amp;TEXT($M8-$N8,"#,##0")&amp;"  (1 aparelho)","—")</f>
        <v>—</v>
      </c>
      <c r="K8" s="14">
        <f>SUMPRODUCT((Aquecedores!$H$3:$H$10&lt;$B8)*1)+1</f>
        <v>1</v>
      </c>
      <c r="L8" s="14">
        <f>SUMPRODUCT((Aquecedores!$H$3:$H$10&lt;$B8/2)*1)+1</f>
        <v>1</v>
      </c>
      <c r="M8" s="15">
        <f>IFERROR(INDEX(Aquecedores!$G$3:$G$10,$K8),"")</f>
        <v>1549</v>
      </c>
      <c r="N8">
        <f>IFERROR(2*INDEX(Aquecedores!$G$3:$G$10,$L8),"")</f>
        <v>3098</v>
      </c>
      <c r="O8">
        <f>IF(AND($K8&lt;=8,$L8&lt;=8),IF($N8&lt;$M8,2,1),IF($K8&lt;=8,1,IF($L8&lt;=8,2,0)))</f>
        <v>1</v>
      </c>
    </row>
    <row r="9" spans="1:15" x14ac:dyDescent="0.3">
      <c r="A9" s="3" t="str">
        <f>"Preços médios levantados em "&amp;Aquecedores!$D$12&amp;"  ·  referenciais  ·  2 aparelhos = em paralelo (não inclui instalação/ponto de gás/exaustão extras)"</f>
        <v>Preços médios levantados em 21/06/2026  ·  referenciais  ·  2 aparelhos = em paralelo (não inclui instalação/ponto de gás/exaustão extras)</v>
      </c>
      <c r="B9" s="3"/>
      <c r="C9" s="3"/>
      <c r="D9" s="3"/>
      <c r="E9" s="3"/>
      <c r="F9" s="3"/>
      <c r="G9" s="3"/>
    </row>
    <row r="11" spans="1:15" x14ac:dyDescent="0.3">
      <c r="A11" s="4" t="s">
        <v>13</v>
      </c>
      <c r="B11" s="4"/>
      <c r="C11" s="4"/>
      <c r="D11" s="4"/>
      <c r="E11" s="4"/>
      <c r="F11" s="4"/>
      <c r="G11" s="4"/>
    </row>
    <row r="12" spans="1:15" x14ac:dyDescent="0.3">
      <c r="A12" s="16" t="s">
        <v>14</v>
      </c>
      <c r="B12" s="17">
        <v>36</v>
      </c>
      <c r="C12" s="18" t="s">
        <v>15</v>
      </c>
      <c r="D12" s="19" t="s">
        <v>16</v>
      </c>
    </row>
    <row r="13" spans="1:15" x14ac:dyDescent="0.3">
      <c r="A13" s="16" t="s">
        <v>17</v>
      </c>
      <c r="B13" s="20">
        <v>40</v>
      </c>
      <c r="C13" s="18" t="s">
        <v>18</v>
      </c>
      <c r="D13" s="19"/>
    </row>
    <row r="14" spans="1:15" x14ac:dyDescent="0.3">
      <c r="A14" s="16" t="s">
        <v>19</v>
      </c>
      <c r="B14" s="20">
        <v>20</v>
      </c>
      <c r="C14" s="18" t="s">
        <v>18</v>
      </c>
      <c r="D14" s="19"/>
    </row>
    <row r="15" spans="1:15" x14ac:dyDescent="0.3">
      <c r="A15" s="16" t="s">
        <v>20</v>
      </c>
      <c r="B15" s="20">
        <v>50</v>
      </c>
      <c r="C15" s="18" t="s">
        <v>18</v>
      </c>
      <c r="D15" s="19"/>
    </row>
    <row r="16" spans="1:15" x14ac:dyDescent="0.3">
      <c r="A16" s="16" t="s">
        <v>21</v>
      </c>
      <c r="B16" s="20">
        <v>1000</v>
      </c>
      <c r="C16" s="18" t="s">
        <v>22</v>
      </c>
      <c r="D16" s="19"/>
    </row>
    <row r="17" spans="1:9" x14ac:dyDescent="0.3">
      <c r="A17" s="16" t="s">
        <v>23</v>
      </c>
      <c r="B17" s="21">
        <v>0.9</v>
      </c>
      <c r="C17" s="18" t="s">
        <v>24</v>
      </c>
      <c r="D17" s="19" t="s">
        <v>25</v>
      </c>
    </row>
    <row r="18" spans="1:9" x14ac:dyDescent="0.3">
      <c r="A18" s="16" t="s">
        <v>26</v>
      </c>
      <c r="B18" s="20">
        <v>1000</v>
      </c>
      <c r="C18" s="18" t="s">
        <v>22</v>
      </c>
      <c r="D18" s="19"/>
    </row>
    <row r="19" spans="1:9" x14ac:dyDescent="0.3">
      <c r="A19" s="16" t="s">
        <v>27</v>
      </c>
      <c r="B19" s="20">
        <v>15</v>
      </c>
      <c r="C19" s="18" t="s">
        <v>28</v>
      </c>
      <c r="D19" s="19"/>
    </row>
    <row r="20" spans="1:9" x14ac:dyDescent="0.3">
      <c r="A20" s="16" t="s">
        <v>29</v>
      </c>
      <c r="B20" s="22">
        <f>B15-B14</f>
        <v>30</v>
      </c>
      <c r="C20" s="18" t="s">
        <v>18</v>
      </c>
      <c r="D20" s="19" t="s">
        <v>30</v>
      </c>
    </row>
    <row r="22" spans="1:9" ht="15" customHeight="1" x14ac:dyDescent="0.3">
      <c r="A22" s="4" t="s">
        <v>31</v>
      </c>
      <c r="B22" s="4"/>
      <c r="C22" s="4"/>
      <c r="D22" s="4"/>
      <c r="E22" s="4"/>
      <c r="F22" s="4"/>
      <c r="G22" s="4"/>
      <c r="H22" s="2" t="s">
        <v>32</v>
      </c>
      <c r="I22" s="2"/>
    </row>
    <row r="23" spans="1:9" x14ac:dyDescent="0.3">
      <c r="A23" s="16" t="s">
        <v>33</v>
      </c>
      <c r="B23" s="23">
        <f>B12*(B13-B14)/(B15-B14)</f>
        <v>24</v>
      </c>
      <c r="C23" s="18" t="s">
        <v>15</v>
      </c>
      <c r="D23" s="19" t="s">
        <v>34</v>
      </c>
      <c r="H23" s="24" t="s">
        <v>35</v>
      </c>
      <c r="I23" s="24" t="s">
        <v>36</v>
      </c>
    </row>
    <row r="24" spans="1:9" x14ac:dyDescent="0.3">
      <c r="A24" s="16" t="s">
        <v>37</v>
      </c>
      <c r="B24" s="25">
        <f>B23*B20*60</f>
        <v>43200</v>
      </c>
      <c r="C24" s="18" t="s">
        <v>38</v>
      </c>
      <c r="D24" s="19" t="s">
        <v>39</v>
      </c>
      <c r="H24" s="26" t="s">
        <v>40</v>
      </c>
      <c r="I24" s="26" t="s">
        <v>41</v>
      </c>
    </row>
    <row r="25" spans="1:9" x14ac:dyDescent="0.3">
      <c r="A25" s="16" t="s">
        <v>42</v>
      </c>
      <c r="B25" s="25">
        <f>B24/B20</f>
        <v>1440</v>
      </c>
      <c r="C25" s="18" t="s">
        <v>43</v>
      </c>
      <c r="D25" s="19"/>
      <c r="H25" s="26" t="s">
        <v>44</v>
      </c>
      <c r="I25" s="26" t="s">
        <v>45</v>
      </c>
    </row>
    <row r="26" spans="1:9" ht="15.6" x14ac:dyDescent="0.3">
      <c r="A26" s="16" t="s">
        <v>46</v>
      </c>
      <c r="B26" s="27">
        <f>B25/60</f>
        <v>24</v>
      </c>
      <c r="C26" s="18" t="s">
        <v>15</v>
      </c>
      <c r="D26" s="19"/>
      <c r="H26" s="26" t="s">
        <v>47</v>
      </c>
      <c r="I26" s="26" t="s">
        <v>48</v>
      </c>
    </row>
    <row r="27" spans="1:9" x14ac:dyDescent="0.3">
      <c r="H27" s="26" t="s">
        <v>49</v>
      </c>
      <c r="I27" s="26" t="s">
        <v>50</v>
      </c>
    </row>
    <row r="28" spans="1:9" x14ac:dyDescent="0.3">
      <c r="A28" s="4" t="s">
        <v>51</v>
      </c>
      <c r="B28" s="4"/>
      <c r="C28" s="4"/>
      <c r="D28" s="4"/>
      <c r="E28" s="4"/>
      <c r="F28" s="4"/>
      <c r="G28" s="4"/>
      <c r="H28" s="26" t="s">
        <v>52</v>
      </c>
      <c r="I28" s="26" t="s">
        <v>53</v>
      </c>
    </row>
    <row r="29" spans="1:9" x14ac:dyDescent="0.3">
      <c r="A29" s="16" t="s">
        <v>54</v>
      </c>
      <c r="B29" s="25">
        <f>B16*(B13-B14)/(B15-B14)</f>
        <v>666.66666666666663</v>
      </c>
      <c r="C29" s="18" t="s">
        <v>22</v>
      </c>
      <c r="D29" s="19" t="s">
        <v>55</v>
      </c>
    </row>
    <row r="30" spans="1:9" x14ac:dyDescent="0.3">
      <c r="A30" s="16" t="s">
        <v>56</v>
      </c>
      <c r="B30" s="25">
        <f>B29*B17</f>
        <v>600</v>
      </c>
      <c r="C30" s="18" t="s">
        <v>22</v>
      </c>
      <c r="D30" s="19" t="s">
        <v>57</v>
      </c>
      <c r="H30" s="28" t="s">
        <v>58</v>
      </c>
    </row>
    <row r="31" spans="1:9" x14ac:dyDescent="0.3">
      <c r="A31" s="16" t="s">
        <v>36</v>
      </c>
      <c r="B31" s="29">
        <f>IF(B30&lt;=1500,1/3,IF(B30&lt;=6000,1/4,IF(B30&lt;=12000,1/5,IF(B30&lt;=20000,1/6,1/7))))</f>
        <v>0.33333333333333331</v>
      </c>
      <c r="C31" s="18" t="s">
        <v>24</v>
      </c>
      <c r="D31" s="19" t="s">
        <v>59</v>
      </c>
    </row>
    <row r="32" spans="1:9" x14ac:dyDescent="0.3">
      <c r="A32" s="16" t="s">
        <v>60</v>
      </c>
      <c r="B32" s="25">
        <f>B30*B31</f>
        <v>200</v>
      </c>
      <c r="C32" s="18" t="s">
        <v>22</v>
      </c>
      <c r="D32" s="19" t="s">
        <v>61</v>
      </c>
    </row>
    <row r="33" spans="1:7" x14ac:dyDescent="0.3">
      <c r="A33" s="16" t="s">
        <v>62</v>
      </c>
      <c r="B33" s="25">
        <f>B30-B32</f>
        <v>400</v>
      </c>
      <c r="C33" s="18" t="s">
        <v>22</v>
      </c>
      <c r="D33" s="19" t="s">
        <v>63</v>
      </c>
    </row>
    <row r="34" spans="1:7" x14ac:dyDescent="0.3">
      <c r="A34" s="16" t="s">
        <v>37</v>
      </c>
      <c r="B34" s="25">
        <f>B33*B20</f>
        <v>12000</v>
      </c>
      <c r="C34" s="18" t="s">
        <v>38</v>
      </c>
      <c r="D34" s="19" t="s">
        <v>64</v>
      </c>
    </row>
    <row r="35" spans="1:7" x14ac:dyDescent="0.3">
      <c r="A35" s="16" t="s">
        <v>42</v>
      </c>
      <c r="B35" s="25">
        <f>B34/B20</f>
        <v>400</v>
      </c>
      <c r="C35" s="18" t="s">
        <v>43</v>
      </c>
      <c r="D35" s="19"/>
    </row>
    <row r="36" spans="1:7" ht="15.6" x14ac:dyDescent="0.3">
      <c r="A36" s="16" t="s">
        <v>65</v>
      </c>
      <c r="B36" s="27">
        <f>B35/60</f>
        <v>6.666666666666667</v>
      </c>
      <c r="C36" s="18" t="s">
        <v>15</v>
      </c>
      <c r="D36" s="19"/>
    </row>
    <row r="38" spans="1:7" x14ac:dyDescent="0.3">
      <c r="A38" s="4" t="s">
        <v>66</v>
      </c>
      <c r="B38" s="4"/>
      <c r="C38" s="4"/>
      <c r="D38" s="4"/>
      <c r="E38" s="4"/>
      <c r="F38" s="4"/>
      <c r="G38" s="4"/>
    </row>
    <row r="39" spans="1:7" x14ac:dyDescent="0.3">
      <c r="A39" s="16" t="s">
        <v>37</v>
      </c>
      <c r="B39" s="25">
        <f>((B12*(B13-B14)*B19)-(B18*(B15-B13)))*60/B19</f>
        <v>3200</v>
      </c>
      <c r="C39" s="18" t="s">
        <v>38</v>
      </c>
      <c r="D39" s="19" t="s">
        <v>67</v>
      </c>
    </row>
    <row r="40" spans="1:7" x14ac:dyDescent="0.3">
      <c r="A40" s="16" t="s">
        <v>42</v>
      </c>
      <c r="B40" s="25">
        <f>B39/B20</f>
        <v>106.66666666666667</v>
      </c>
      <c r="C40" s="18" t="s">
        <v>43</v>
      </c>
      <c r="D40" s="19"/>
    </row>
    <row r="41" spans="1:7" ht="15.6" x14ac:dyDescent="0.3">
      <c r="A41" s="16" t="s">
        <v>68</v>
      </c>
      <c r="B41" s="27">
        <f>B40/60</f>
        <v>1.7777777777777779</v>
      </c>
      <c r="C41" s="18" t="s">
        <v>15</v>
      </c>
      <c r="D41" s="19"/>
    </row>
    <row r="43" spans="1:7" x14ac:dyDescent="0.3">
      <c r="A43" s="4" t="s">
        <v>69</v>
      </c>
      <c r="B43" s="4"/>
      <c r="C43" s="4"/>
      <c r="D43" s="4"/>
      <c r="E43" s="4"/>
      <c r="F43" s="4"/>
      <c r="G43" s="4"/>
    </row>
    <row r="44" spans="1:7" ht="15.6" x14ac:dyDescent="0.3">
      <c r="A44" s="30" t="s">
        <v>10</v>
      </c>
      <c r="B44" s="27">
        <f>B26</f>
        <v>24</v>
      </c>
      <c r="C44" s="18" t="s">
        <v>15</v>
      </c>
    </row>
    <row r="45" spans="1:7" ht="15.6" x14ac:dyDescent="0.3">
      <c r="A45" s="30" t="s">
        <v>11</v>
      </c>
      <c r="B45" s="27">
        <f>B36</f>
        <v>6.666666666666667</v>
      </c>
      <c r="C45" s="18" t="s">
        <v>15</v>
      </c>
    </row>
    <row r="46" spans="1:7" ht="15.6" x14ac:dyDescent="0.3">
      <c r="A46" s="30" t="s">
        <v>12</v>
      </c>
      <c r="B46" s="27">
        <f>B41</f>
        <v>1.7777777777777779</v>
      </c>
      <c r="C46" s="18" t="s">
        <v>15</v>
      </c>
    </row>
  </sheetData>
  <mergeCells count="10">
    <mergeCell ref="A22:G22"/>
    <mergeCell ref="H22:I22"/>
    <mergeCell ref="A28:G28"/>
    <mergeCell ref="A38:G38"/>
    <mergeCell ref="A43:G43"/>
    <mergeCell ref="A1:G1"/>
    <mergeCell ref="A2:G2"/>
    <mergeCell ref="A4:G4"/>
    <mergeCell ref="A9:G9"/>
    <mergeCell ref="A11:G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3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6" customWidth="1"/>
    <col min="3" max="3" width="13" customWidth="1"/>
    <col min="4" max="4" width="19" customWidth="1"/>
    <col min="5" max="5" width="10" customWidth="1"/>
    <col min="6" max="6" width="12" customWidth="1"/>
    <col min="7" max="7" width="15" customWidth="1"/>
    <col min="8" max="8" width="16" customWidth="1"/>
  </cols>
  <sheetData>
    <row r="1" spans="2:8" ht="24" customHeight="1" x14ac:dyDescent="0.3">
      <c r="B1" s="6" t="s">
        <v>70</v>
      </c>
      <c r="C1" s="6"/>
      <c r="D1" s="6"/>
      <c r="E1" s="6"/>
      <c r="F1" s="6"/>
      <c r="G1" s="6"/>
      <c r="H1" s="6"/>
    </row>
    <row r="2" spans="2:8" ht="30" customHeight="1" x14ac:dyDescent="0.3">
      <c r="B2" s="7" t="s">
        <v>71</v>
      </c>
      <c r="C2" s="7" t="s">
        <v>72</v>
      </c>
      <c r="D2" s="7" t="s">
        <v>73</v>
      </c>
      <c r="E2" s="7" t="s">
        <v>74</v>
      </c>
      <c r="F2" s="7" t="s">
        <v>75</v>
      </c>
      <c r="G2" s="7" t="s">
        <v>76</v>
      </c>
      <c r="H2" s="7" t="s">
        <v>77</v>
      </c>
    </row>
    <row r="3" spans="2:8" x14ac:dyDescent="0.3">
      <c r="B3" s="31" t="s">
        <v>78</v>
      </c>
      <c r="C3" s="23">
        <v>10</v>
      </c>
      <c r="D3" s="25">
        <v>14500</v>
      </c>
      <c r="E3" s="23">
        <v>16.8</v>
      </c>
      <c r="F3" s="32">
        <v>0.86</v>
      </c>
      <c r="G3" s="33">
        <v>1549</v>
      </c>
      <c r="H3" s="34">
        <f t="shared" ref="H3:H10" si="0">D3*F3</f>
        <v>12470</v>
      </c>
    </row>
    <row r="4" spans="2:8" x14ac:dyDescent="0.3">
      <c r="B4" s="31" t="s">
        <v>79</v>
      </c>
      <c r="C4" s="23">
        <v>15</v>
      </c>
      <c r="D4" s="25">
        <v>21000</v>
      </c>
      <c r="E4" s="23">
        <v>24.4</v>
      </c>
      <c r="F4" s="32">
        <v>0.86</v>
      </c>
      <c r="G4" s="33">
        <v>1900</v>
      </c>
      <c r="H4" s="34">
        <f t="shared" si="0"/>
        <v>18060</v>
      </c>
    </row>
    <row r="5" spans="2:8" x14ac:dyDescent="0.3">
      <c r="B5" s="31" t="s">
        <v>80</v>
      </c>
      <c r="C5" s="23">
        <v>17</v>
      </c>
      <c r="D5" s="25">
        <v>23800</v>
      </c>
      <c r="E5" s="23">
        <v>27.7</v>
      </c>
      <c r="F5" s="32">
        <v>0.86</v>
      </c>
      <c r="G5" s="33">
        <v>2499</v>
      </c>
      <c r="H5" s="34">
        <f t="shared" si="0"/>
        <v>20468</v>
      </c>
    </row>
    <row r="6" spans="2:8" x14ac:dyDescent="0.3">
      <c r="B6" s="31" t="s">
        <v>81</v>
      </c>
      <c r="C6" s="23">
        <v>21</v>
      </c>
      <c r="D6" s="25">
        <v>29000</v>
      </c>
      <c r="E6" s="23">
        <v>33.700000000000003</v>
      </c>
      <c r="F6" s="32">
        <v>0.86</v>
      </c>
      <c r="G6" s="33">
        <v>2999</v>
      </c>
      <c r="H6" s="34">
        <f t="shared" si="0"/>
        <v>24940</v>
      </c>
    </row>
    <row r="7" spans="2:8" x14ac:dyDescent="0.3">
      <c r="B7" s="31" t="s">
        <v>82</v>
      </c>
      <c r="C7" s="23">
        <v>27</v>
      </c>
      <c r="D7" s="25">
        <v>37700</v>
      </c>
      <c r="E7" s="23">
        <v>43.8</v>
      </c>
      <c r="F7" s="32">
        <v>0.86</v>
      </c>
      <c r="G7" s="33">
        <v>3540</v>
      </c>
      <c r="H7" s="34">
        <f t="shared" si="0"/>
        <v>32422</v>
      </c>
    </row>
    <row r="8" spans="2:8" x14ac:dyDescent="0.3">
      <c r="B8" s="31" t="s">
        <v>83</v>
      </c>
      <c r="C8" s="23">
        <v>32.5</v>
      </c>
      <c r="D8" s="25">
        <v>45300</v>
      </c>
      <c r="E8" s="23">
        <v>52.7</v>
      </c>
      <c r="F8" s="32">
        <v>0.86</v>
      </c>
      <c r="G8" s="33">
        <v>4409</v>
      </c>
      <c r="H8" s="34">
        <f t="shared" si="0"/>
        <v>38958</v>
      </c>
    </row>
    <row r="9" spans="2:8" x14ac:dyDescent="0.3">
      <c r="B9" s="31" t="s">
        <v>84</v>
      </c>
      <c r="C9" s="23">
        <v>35</v>
      </c>
      <c r="D9" s="25">
        <v>49130</v>
      </c>
      <c r="E9" s="23">
        <v>57.1</v>
      </c>
      <c r="F9" s="32">
        <v>0.85</v>
      </c>
      <c r="G9" s="33">
        <v>4735</v>
      </c>
      <c r="H9" s="34">
        <f t="shared" si="0"/>
        <v>41760.5</v>
      </c>
    </row>
    <row r="10" spans="2:8" x14ac:dyDescent="0.3">
      <c r="B10" s="31" t="s">
        <v>85</v>
      </c>
      <c r="C10" s="23">
        <v>45</v>
      </c>
      <c r="D10" s="25">
        <v>62800</v>
      </c>
      <c r="E10" s="23">
        <v>73</v>
      </c>
      <c r="F10" s="32">
        <v>0.86</v>
      </c>
      <c r="G10" s="33">
        <v>10470</v>
      </c>
      <c r="H10" s="34">
        <f t="shared" si="0"/>
        <v>54008</v>
      </c>
    </row>
    <row r="12" spans="2:8" x14ac:dyDescent="0.3">
      <c r="B12" s="35" t="s">
        <v>86</v>
      </c>
      <c r="D12" s="36" t="s">
        <v>87</v>
      </c>
    </row>
    <row r="13" spans="2:8" x14ac:dyDescent="0.3">
      <c r="B13" s="1" t="s">
        <v>88</v>
      </c>
      <c r="C13" s="1"/>
      <c r="D13" s="1"/>
      <c r="E13" s="1"/>
      <c r="F13" s="1"/>
      <c r="G13" s="1"/>
      <c r="H13" s="1"/>
    </row>
  </sheetData>
  <mergeCells count="2">
    <mergeCell ref="B1:H1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Cálculo</vt:lpstr>
      <vt:lpstr>Aquecedores</vt:lpstr>
      <vt:lpstr>Cálculo!Area_de_impressao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Gabriel</cp:lastModifiedBy>
  <cp:revision>0</cp:revision>
  <dcterms:created xsi:type="dcterms:W3CDTF">2026-07-11T21:47:44Z</dcterms:created>
  <dcterms:modified xsi:type="dcterms:W3CDTF">2026-07-11T21:51:24Z</dcterms:modified>
  <dc:language>en-US</dc:language>
</cp:coreProperties>
</file>