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Joao Paulo\Downloads\"/>
    </mc:Choice>
  </mc:AlternateContent>
  <xr:revisionPtr revIDLastSave="0" documentId="13_ncr:1_{7731F149-B9BA-4423-9FCC-D46BC587CA1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afts e Afins" sheetId="1" r:id="rId1"/>
    <sheet name="Planilha2" sheetId="2" r:id="rId2"/>
    <sheet name="Ambientes" sheetId="3" r:id="rId3"/>
    <sheet name="Solos" sheetId="4" r:id="rId4"/>
    <sheet name="Coef. Sol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3" i="1" l="1"/>
  <c r="F39" i="1"/>
  <c r="C6" i="1"/>
  <c r="C27" i="1" s="1"/>
  <c r="F23" i="4"/>
  <c r="F25" i="4"/>
  <c r="F30" i="4"/>
  <c r="F29" i="4"/>
  <c r="C30" i="4"/>
  <c r="C31" i="4" s="1"/>
  <c r="C29" i="4"/>
  <c r="L56" i="4"/>
  <c r="L57" i="4" s="1"/>
  <c r="L58" i="4" s="1"/>
  <c r="L59" i="4" s="1"/>
  <c r="L60" i="4" s="1"/>
  <c r="L61" i="4" s="1"/>
  <c r="K56" i="4"/>
  <c r="K57" i="4" s="1"/>
  <c r="K58" i="4" s="1"/>
  <c r="K59" i="4" s="1"/>
  <c r="K60" i="4" s="1"/>
  <c r="K61" i="4" s="1"/>
  <c r="F16" i="4"/>
  <c r="F15" i="4"/>
  <c r="O12" i="4"/>
  <c r="O11" i="4"/>
  <c r="O10" i="4"/>
  <c r="O9" i="4"/>
  <c r="F9" i="4"/>
  <c r="O8" i="4"/>
  <c r="O7" i="4"/>
  <c r="O6" i="4"/>
  <c r="F6" i="4"/>
  <c r="C6" i="4"/>
  <c r="C28" i="4" s="1"/>
  <c r="O5" i="4"/>
  <c r="C4" i="4"/>
  <c r="C24" i="4" s="1"/>
  <c r="F3" i="4"/>
  <c r="J2" i="4"/>
  <c r="F2" i="4"/>
  <c r="F29" i="1"/>
  <c r="F28" i="1"/>
  <c r="F25" i="1"/>
  <c r="C28" i="1"/>
  <c r="C29" i="1"/>
  <c r="C30" i="1" s="1"/>
  <c r="C25" i="1"/>
  <c r="F2" i="1"/>
  <c r="F9" i="1"/>
  <c r="B13" i="2"/>
  <c r="B12" i="2"/>
  <c r="B11" i="2"/>
  <c r="B10" i="2"/>
  <c r="B9" i="2"/>
  <c r="B8" i="2"/>
  <c r="O8" i="1" s="1"/>
  <c r="B7" i="2"/>
  <c r="O7" i="1" s="1"/>
  <c r="B6" i="2"/>
  <c r="O6" i="1" s="1"/>
  <c r="B5" i="2"/>
  <c r="L53" i="1"/>
  <c r="L54" i="1" s="1"/>
  <c r="L55" i="1" s="1"/>
  <c r="L56" i="1" s="1"/>
  <c r="K53" i="1"/>
  <c r="K54" i="1" s="1"/>
  <c r="K55" i="1" s="1"/>
  <c r="K56" i="1" s="1"/>
  <c r="F16" i="1"/>
  <c r="F15" i="1"/>
  <c r="O12" i="1"/>
  <c r="O11" i="1"/>
  <c r="O10" i="1"/>
  <c r="O9" i="1"/>
  <c r="F6" i="1"/>
  <c r="O5" i="1"/>
  <c r="C4" i="1"/>
  <c r="C24" i="1" s="1"/>
  <c r="J2" i="1"/>
  <c r="F28" i="4" l="1"/>
  <c r="F31" i="4"/>
  <c r="F27" i="1"/>
  <c r="F4" i="4"/>
  <c r="C11" i="4"/>
  <c r="C12" i="4" s="1"/>
  <c r="C20" i="4"/>
  <c r="F20" i="4"/>
  <c r="F10" i="4"/>
  <c r="F13" i="4" s="1"/>
  <c r="C10" i="4"/>
  <c r="C13" i="4" s="1"/>
  <c r="J6" i="4"/>
  <c r="F30" i="1"/>
  <c r="F4" i="1"/>
  <c r="L57" i="1"/>
  <c r="L58" i="1" s="1"/>
  <c r="K57" i="1"/>
  <c r="K58" i="1" s="1"/>
  <c r="C10" i="1"/>
  <c r="F10" i="1"/>
  <c r="C11" i="1"/>
  <c r="J6" i="1"/>
  <c r="F21" i="4" l="1"/>
  <c r="F38" i="4"/>
  <c r="C21" i="4"/>
  <c r="C38" i="4"/>
  <c r="C39" i="4" s="1"/>
  <c r="C44" i="4" s="1"/>
  <c r="J4" i="4"/>
  <c r="F24" i="4"/>
  <c r="F11" i="1"/>
  <c r="F12" i="1" s="1"/>
  <c r="F24" i="1"/>
  <c r="C53" i="4"/>
  <c r="C54" i="4" s="1"/>
  <c r="C56" i="4" s="1"/>
  <c r="C27" i="4" s="1"/>
  <c r="C33" i="4" s="1"/>
  <c r="C34" i="4" s="1"/>
  <c r="C35" i="4" s="1"/>
  <c r="C36" i="4" s="1"/>
  <c r="F11" i="4"/>
  <c r="F12" i="4" s="1"/>
  <c r="J4" i="1"/>
  <c r="C50" i="1"/>
  <c r="C51" i="1" s="1"/>
  <c r="C53" i="1" s="1"/>
  <c r="C26" i="1" s="1"/>
  <c r="C32" i="1" s="1"/>
  <c r="C12" i="1"/>
  <c r="F13" i="1"/>
  <c r="C13" i="1"/>
  <c r="C20" i="1"/>
  <c r="F20" i="1"/>
  <c r="C41" i="4" l="1"/>
  <c r="F21" i="1"/>
  <c r="F37" i="1"/>
  <c r="C33" i="1"/>
  <c r="C34" i="1" s="1"/>
  <c r="C35" i="1" s="1"/>
  <c r="C21" i="1"/>
  <c r="C37" i="1"/>
  <c r="C38" i="1" s="1"/>
  <c r="F50" i="1"/>
  <c r="F51" i="1" s="1"/>
  <c r="F53" i="1" s="1"/>
  <c r="F26" i="1" s="1"/>
  <c r="F32" i="1" s="1"/>
  <c r="F53" i="4"/>
  <c r="F54" i="4" s="1"/>
  <c r="F56" i="4" s="1"/>
  <c r="F27" i="4" s="1"/>
  <c r="F33" i="4" s="1"/>
  <c r="F34" i="4" s="1"/>
  <c r="F35" i="4" s="1"/>
  <c r="F36" i="4" s="1"/>
  <c r="C40" i="1" l="1"/>
  <c r="F39" i="4"/>
  <c r="F44" i="4" s="1"/>
  <c r="F33" i="1"/>
  <c r="F34" i="1" s="1"/>
  <c r="F35" i="1" s="1"/>
  <c r="F40" i="1" s="1"/>
  <c r="F38" i="1"/>
  <c r="F43" i="1" s="1"/>
  <c r="C43" i="1"/>
  <c r="F4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Igor Gabriel</author>
  </authors>
  <commentList>
    <comment ref="B23" authorId="0" shapeId="0" xr:uid="{4BEC680A-4802-4AD0-96DB-307EF14164F9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Coeficiente convectivo externo
</t>
        </r>
      </text>
    </comment>
    <comment ref="E23" authorId="0" shapeId="0" xr:uid="{64E86640-5481-4EDC-9300-C3E6C5061599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Coeficiente convectivo externo
</t>
        </r>
      </text>
    </comment>
    <comment ref="B24" authorId="0" shapeId="0" xr:uid="{01D5F4B9-824E-4C62-9C18-74EAD9CB46FF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Vazão mássica da água</t>
        </r>
      </text>
    </comment>
    <comment ref="E24" authorId="0" shapeId="0" xr:uid="{597926EC-C9B8-4FEA-A8F8-1C03B6EAD049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Vazão mássica da água</t>
        </r>
      </text>
    </comment>
    <comment ref="B26" authorId="0" shapeId="0" xr:uid="{F579D511-076D-4183-B2B2-CCC366DC16B2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convectiva interna</t>
        </r>
      </text>
    </comment>
    <comment ref="E26" authorId="0" shapeId="0" xr:uid="{02622AC6-3DDC-43C2-9BEB-41CB42FF086E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convectiva interna</t>
        </r>
      </text>
    </comment>
    <comment ref="B27" authorId="0" shapeId="0" xr:uid="{78A7E263-F4D6-4960-9A00-CCBE9C8CAF0F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condutiva do tubo</t>
        </r>
      </text>
    </comment>
    <comment ref="E27" authorId="0" shapeId="0" xr:uid="{38790BF7-6448-4A12-843E-44FD7209F927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condutiva do tubo</t>
        </r>
      </text>
    </comment>
    <comment ref="B28" authorId="0" shapeId="0" xr:uid="{DBCD9B0D-8BA0-4822-9B03-1E546290CA43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condutiva do isolante</t>
        </r>
      </text>
    </comment>
    <comment ref="E28" authorId="0" shapeId="0" xr:uid="{ABFD4C8A-5569-43B7-84C1-33AFE5E39375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condutiva do isolante</t>
        </r>
      </text>
    </comment>
    <comment ref="B29" authorId="0" shapeId="0" xr:uid="{FAE251CC-B18C-4099-BB78-1C8842D7C7C2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Diâmetro externo tubo + isolante</t>
        </r>
      </text>
    </comment>
    <comment ref="E29" authorId="0" shapeId="0" xr:uid="{51EAB84D-EC1E-49D7-A49E-C77C3C55D2B2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Diâmetro externo tubo + isolante</t>
        </r>
      </text>
    </comment>
    <comment ref="B30" authorId="0" shapeId="0" xr:uid="{5A70EABA-5492-41B7-AB9C-B232DEC63C90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convectiva externa</t>
        </r>
      </text>
    </comment>
    <comment ref="E30" authorId="0" shapeId="0" xr:uid="{900557A0-5B1C-4001-9D4B-78CF0D56FBE4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convectiva externa</t>
        </r>
      </text>
    </comment>
    <comment ref="B32" authorId="0" shapeId="0" xr:uid="{A34798D3-1292-48FB-8647-537E68B7FDCC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total</t>
        </r>
      </text>
    </comment>
    <comment ref="E32" authorId="0" shapeId="0" xr:uid="{0DD26FE3-CDFE-4CE8-8B6D-A155E4F00B88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total</t>
        </r>
      </text>
    </comment>
    <comment ref="B33" authorId="0" shapeId="0" xr:uid="{68CB4367-75C9-47A6-B9FF-CBE0F3A8872A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Condutância térmica global</t>
        </r>
      </text>
    </comment>
    <comment ref="E33" authorId="0" shapeId="0" xr:uid="{6D53FDD9-CDF4-46DB-AE60-D1CADA3A5DB3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Condutância térmica global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Igor Gabriel</author>
  </authors>
  <commentList>
    <comment ref="B23" authorId="0" shapeId="0" xr:uid="{31A7BA96-4E6A-41CB-9C76-91303A6F054A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Capacidade do solo conduzir calor.
Quanto maior, mais calor o solo consegue absorver.
</t>
        </r>
      </text>
    </comment>
    <comment ref="E23" authorId="0" shapeId="0" xr:uid="{C8283E99-CA32-4DD8-ADDA-06B99742BB0C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Capacidade do solo conduzir calor.
Quanto maior, mais calor o solo consegue absorver.
</t>
        </r>
      </text>
    </comment>
    <comment ref="B24" authorId="0" shapeId="0" xr:uid="{61E6EC41-CE32-4A3F-9B44-213EF17576CD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Massa de água passando por segundo.
</t>
        </r>
      </text>
    </comment>
    <comment ref="E24" authorId="0" shapeId="0" xr:uid="{C7AB5AC4-DB6C-4BD0-A24D-84E18F448669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Massa de água passando por segundo.
</t>
        </r>
      </text>
    </comment>
    <comment ref="B25" authorId="0" shapeId="0" xr:uid="{D08EAB5B-A53E-48E9-B4CA-251B15B7A55C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Distância equivalente até onde o calor consegue se dissipar no solo.</t>
        </r>
      </text>
    </comment>
    <comment ref="E25" authorId="0" shapeId="0" xr:uid="{833D5360-A92C-465F-B039-19345D4E65D7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Distância equivalente até onde o calor consegue se dissipar no solo.</t>
        </r>
      </text>
    </comment>
    <comment ref="B26" authorId="0" shapeId="0" xr:uid="{2683B0B9-1048-446A-9EF8-347BFA346DAB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Energia necessária para variar 1°C em 1 kg de água.</t>
        </r>
      </text>
    </comment>
    <comment ref="E26" authorId="0" shapeId="0" xr:uid="{19B3E185-0A91-423A-8574-73144B8B19F9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Energia necessária para variar 1°C em 1 kg de água.</t>
        </r>
      </text>
    </comment>
    <comment ref="B27" authorId="0" shapeId="0" xr:uid="{D8284BEA-ACA7-4436-82DE-99ADB1D2A4AA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entre a água e a parede interna do tubo.</t>
        </r>
      </text>
    </comment>
    <comment ref="E27" authorId="0" shapeId="0" xr:uid="{D58FC95D-CAF6-4365-BDC4-27FAF93A63E2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entre a água e a parede interna do tubo.</t>
        </r>
      </text>
    </comment>
    <comment ref="B28" authorId="0" shapeId="0" xr:uid="{3AC73184-7802-4112-A850-BCEB6B3BF565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da parede do tubo CPVC.</t>
        </r>
      </text>
    </comment>
    <comment ref="E28" authorId="0" shapeId="0" xr:uid="{05BD0738-7A00-418B-A55F-EDA4FCDD0C16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da parede do tubo CPVC.</t>
        </r>
      </text>
    </comment>
    <comment ref="B29" authorId="0" shapeId="0" xr:uid="{1DE684E9-FE6D-4516-A382-159EB6128ECB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adicional do isolamento térmico.</t>
        </r>
      </text>
    </comment>
    <comment ref="E29" authorId="0" shapeId="0" xr:uid="{FA067B53-5C9E-4886-B8B5-997D86EA5C1D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adicional do isolamento térmico.</t>
        </r>
      </text>
    </comment>
    <comment ref="B30" authorId="0" shapeId="0" xr:uid="{28EAEF12-1ABF-4503-B849-3F946DA86C29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Diâmetro externo tubo + isolante</t>
        </r>
      </text>
    </comment>
    <comment ref="E30" authorId="0" shapeId="0" xr:uid="{E85211AD-5501-4737-90A9-B63D27F4E8FD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Diâmetro externo tubo + isolante</t>
        </r>
      </text>
    </comment>
    <comment ref="B31" authorId="0" shapeId="0" xr:uid="{C705BD5F-F561-453C-AACC-6D3FCC0C4301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equivalente do solo ao redor da tubulação enterrada.</t>
        </r>
      </text>
    </comment>
    <comment ref="E31" authorId="0" shapeId="0" xr:uid="{ABB529D2-51F4-460B-99B0-86C08B98B7DB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equivalente do solo ao redor da tubulação enterrada.</t>
        </r>
      </text>
    </comment>
    <comment ref="B33" authorId="0" shapeId="0" xr:uid="{8F048B2E-3952-4C77-B614-CC67E5D5310F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total</t>
        </r>
      </text>
    </comment>
    <comment ref="E33" authorId="0" shapeId="0" xr:uid="{E768314B-B986-4DF9-A1DF-F50C1F4F3580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Resistência térmica total</t>
        </r>
      </text>
    </comment>
    <comment ref="B34" authorId="0" shapeId="0" xr:uid="{EB1552D6-8032-48E9-98F5-B35E59B6E3F2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Condutância térmica global</t>
        </r>
      </text>
    </comment>
    <comment ref="E34" authorId="0" shapeId="0" xr:uid="{B4AD14CE-2BDA-450F-82A8-971F0C60C38D}">
      <text>
        <r>
          <rPr>
            <b/>
            <sz val="9"/>
            <color indexed="81"/>
            <rFont val="Segoe UI"/>
            <family val="2"/>
          </rPr>
          <t>Igor Gabriel:</t>
        </r>
        <r>
          <rPr>
            <sz val="9"/>
            <color indexed="81"/>
            <rFont val="Segoe UI"/>
            <family val="2"/>
          </rPr>
          <t xml:space="preserve">
Condutância térmica global</t>
        </r>
      </text>
    </comment>
  </commentList>
</comments>
</file>

<file path=xl/sharedStrings.xml><?xml version="1.0" encoding="utf-8"?>
<sst xmlns="http://schemas.openxmlformats.org/spreadsheetml/2006/main" count="259" uniqueCount="111">
  <si>
    <t>Manifold</t>
  </si>
  <si>
    <t>Convencional</t>
  </si>
  <si>
    <t>Vazão</t>
  </si>
  <si>
    <t>Tabela Caleffi</t>
  </si>
  <si>
    <t>Pontos simultâneo</t>
  </si>
  <si>
    <t>Diâmetro</t>
  </si>
  <si>
    <t>Velocidade</t>
  </si>
  <si>
    <t>Vazão máxima</t>
  </si>
  <si>
    <t>Vazão total</t>
  </si>
  <si>
    <t>CPVC</t>
  </si>
  <si>
    <t>PPR</t>
  </si>
  <si>
    <t>PVC</t>
  </si>
  <si>
    <t>Diâmetro CPVC</t>
  </si>
  <si>
    <t>½”</t>
  </si>
  <si>
    <t>Diâmetro interno CPVC</t>
  </si>
  <si>
    <t>¾”</t>
  </si>
  <si>
    <t>1”</t>
  </si>
  <si>
    <t>1.1/4”</t>
  </si>
  <si>
    <t>Distância</t>
  </si>
  <si>
    <t>1.1/2”</t>
  </si>
  <si>
    <t>Área</t>
  </si>
  <si>
    <t>2”</t>
  </si>
  <si>
    <t>2.1/2”</t>
  </si>
  <si>
    <t>Tempo</t>
  </si>
  <si>
    <t>3”</t>
  </si>
  <si>
    <t>Volume</t>
  </si>
  <si>
    <t>Temperatura Ambiente</t>
  </si>
  <si>
    <t>Temperatura Final</t>
  </si>
  <si>
    <t>Condutividade Térmica CPVC</t>
  </si>
  <si>
    <t>armaflex</t>
  </si>
  <si>
    <t>Condutividade térmica Isolante</t>
  </si>
  <si>
    <t>Espessura</t>
  </si>
  <si>
    <t>Perda de carga térmica Tubos</t>
  </si>
  <si>
    <t>Perda água parada (kcal)</t>
  </si>
  <si>
    <t>Visc. cinemática</t>
  </si>
  <si>
    <t>Reynolds</t>
  </si>
  <si>
    <t>Nu</t>
  </si>
  <si>
    <t>Comprimento x pontos</t>
  </si>
  <si>
    <t xml:space="preserve"> k = a condutividade térmica do fluido </t>
  </si>
  <si>
    <t>Ramificado</t>
  </si>
  <si>
    <t>H</t>
  </si>
  <si>
    <t>Diâmetro Comercial</t>
  </si>
  <si>
    <t>Diâmetro interno</t>
  </si>
  <si>
    <t>Vazão mássica</t>
  </si>
  <si>
    <t>Calor específico água</t>
  </si>
  <si>
    <t>R convecção interna</t>
  </si>
  <si>
    <t>R tubo CPVC</t>
  </si>
  <si>
    <t>R isolante</t>
  </si>
  <si>
    <t>Diâmetro externo final</t>
  </si>
  <si>
    <t>R convecção externa</t>
  </si>
  <si>
    <t>R total</t>
  </si>
  <si>
    <t>UA</t>
  </si>
  <si>
    <t>h externo</t>
  </si>
  <si>
    <t>Perda real da água</t>
  </si>
  <si>
    <t>Temperatura final real</t>
  </si>
  <si>
    <t>Ambiente</t>
  </si>
  <si>
    <t>Ambiente interno parado</t>
  </si>
  <si>
    <t>Forro</t>
  </si>
  <si>
    <t>Shaft técnico</t>
  </si>
  <si>
    <t>Embutido em parede</t>
  </si>
  <si>
    <t>Ar livre sem vento</t>
  </si>
  <si>
    <t>Ar livre moderado</t>
  </si>
  <si>
    <t>Ar livre vento forte</t>
  </si>
  <si>
    <t>Solo úmido</t>
  </si>
  <si>
    <t>h externo (W/m²·K)</t>
  </si>
  <si>
    <t>Condutividade solo</t>
  </si>
  <si>
    <t>Raio influência solo</t>
  </si>
  <si>
    <t>R solo</t>
  </si>
  <si>
    <t>Enterrado raso</t>
  </si>
  <si>
    <t>Tipo de solo</t>
  </si>
  <si>
    <t>(k) recomendado (W/m·K)</t>
  </si>
  <si>
    <t>Descrição prática</t>
  </si>
  <si>
    <t>Característica térmica</t>
  </si>
  <si>
    <t>Quando usar</t>
  </si>
  <si>
    <t>Solo seco / arenoso</t>
  </si>
  <si>
    <t>Terra seca, areia, solo fofo, pouca umidade</t>
  </si>
  <si>
    <t>Solo conduz pouco calor</t>
  </si>
  <si>
    <t>Regiões secas, tubulação rasa em jardim seco</t>
  </si>
  <si>
    <t>Solo residencial padrão</t>
  </si>
  <si>
    <t>Terra compactada comum de obra residencial</t>
  </si>
  <si>
    <t>Condição intermediária mais realista</t>
  </si>
  <si>
    <t>Padrão recomendado para maioria das casas</t>
  </si>
  <si>
    <t>Terra constantemente úmida, irrigada ou sombreada</t>
  </si>
  <si>
    <t>Água aumenta muito a condução térmica</t>
  </si>
  <si>
    <t>Jardins irrigados, áreas úmidas</t>
  </si>
  <si>
    <t>Solo muito úmido / saturado</t>
  </si>
  <si>
    <t>Solo encharcado ou próximo de lençol freático</t>
  </si>
  <si>
    <t>Solo começa atuar como dissipador forte</t>
  </si>
  <si>
    <t>Lençol freático, áreas alagáveis</t>
  </si>
  <si>
    <t>Raio influência</t>
  </si>
  <si>
    <t>Equivalência prática</t>
  </si>
  <si>
    <t>0,15 m</t>
  </si>
  <si>
    <t>Tubo enterrado entre 5–15 cm de profundidade</t>
  </si>
  <si>
    <t>Pouca massa de solo ao redor</t>
  </si>
  <si>
    <t>Jardim superficial, passagem rasa</t>
  </si>
  <si>
    <t>0,30 m</t>
  </si>
  <si>
    <t>Residencial padrão</t>
  </si>
  <si>
    <t>Tubo enterrado ~20–40 cm</t>
  </si>
  <si>
    <t>Massa térmica intermediária</t>
  </si>
  <si>
    <t>Obras residenciais comuns</t>
  </si>
  <si>
    <t>0,50 m</t>
  </si>
  <si>
    <t>Enterrado profundo / solo massivo</t>
  </si>
  <si>
    <t>Tubo enterrado &gt;50 cm ou muito envolvido por solo/concreto</t>
  </si>
  <si>
    <t>Grande massa térmica ao redor</t>
  </si>
  <si>
    <t>Tubo profundo, contrapiso, solo muito estável</t>
  </si>
  <si>
    <t>Capacidade térmica da água parada</t>
  </si>
  <si>
    <t>Constante térmica τ</t>
  </si>
  <si>
    <t>Tempo parado</t>
  </si>
  <si>
    <t>Temperatura após X minutos</t>
  </si>
  <si>
    <t>Temperatura alvo (teste)</t>
  </si>
  <si>
    <t>Tempo p/ chegar na temp. alvo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</si>
</sst>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General&quot; L/min&quot;"/>
    <numFmt numFmtId="165" formatCode="General&quot; mm&quot;"/>
    <numFmt numFmtId="166" formatCode="General&quot; metros&quot;"/>
    <numFmt numFmtId="167" formatCode="0.000000"/>
    <numFmt numFmtId="168" formatCode="0.00&quot; m/s&quot;"/>
    <numFmt numFmtId="169" formatCode="0.00&quot; min&quot;"/>
    <numFmt numFmtId="170" formatCode="0.0&quot; litros&quot;"/>
    <numFmt numFmtId="171" formatCode="0&quot; °C&quot;"/>
    <numFmt numFmtId="172" formatCode="0.00&quot; W/mK&quot;"/>
    <numFmt numFmtId="173" formatCode="0.000"/>
    <numFmt numFmtId="174" formatCode="0.00&quot; kW&quot;"/>
    <numFmt numFmtId="175" formatCode="#.00&quot; kcal&quot;"/>
    <numFmt numFmtId="176" formatCode="0.00&quot; °C&quot;"/>
    <numFmt numFmtId="177" formatCode="0.00000"/>
    <numFmt numFmtId="178" formatCode="[$-F400]h:mm:ss\ AM/PM"/>
    <numFmt numFmtId="179" formatCode="General\ &quot;kg/s&quot;"/>
    <numFmt numFmtId="180" formatCode="General\ &quot;W/m²·K&quot;"/>
    <numFmt numFmtId="181" formatCode="General\ &quot;J/kg·K&quot;"/>
    <numFmt numFmtId="182" formatCode="General\ &quot;K/W&quot;"/>
    <numFmt numFmtId="183" formatCode="General\ &quot;m&quot;"/>
    <numFmt numFmtId="184" formatCode="General\ &quot;W/K&quot;"/>
    <numFmt numFmtId="185" formatCode="General\ &quot;W/m·K&quot;"/>
    <numFmt numFmtId="186" formatCode="#,##0\ &quot;J/kg·K&quot;"/>
    <numFmt numFmtId="191" formatCode="#,##0.00\ &quot;J/K&quot;"/>
    <numFmt numFmtId="193" formatCode="#,##0.00\ &quot;s&quot;"/>
    <numFmt numFmtId="194" formatCode="General\ &quot;min&quot;"/>
    <numFmt numFmtId="195" formatCode="0.00\ &quot;°C&quot;"/>
    <numFmt numFmtId="196" formatCode="General\ &quot;°C&quot;"/>
    <numFmt numFmtId="198" formatCode="0.00\ &quot;min&quot;"/>
  </numFmts>
  <fonts count="15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Times New Roman"/>
      <family val="1"/>
      <charset val="1"/>
    </font>
    <font>
      <b/>
      <sz val="13"/>
      <color theme="0"/>
      <name val="Roboto"/>
    </font>
    <font>
      <b/>
      <sz val="11"/>
      <color rgb="FFFFC000"/>
      <name val="Roboto"/>
    </font>
    <font>
      <b/>
      <sz val="10"/>
      <color rgb="FFFFC000"/>
      <name val="Roboto"/>
    </font>
    <font>
      <sz val="11"/>
      <color theme="0" tint="-0.499984740745262"/>
      <name val="Roboto"/>
    </font>
    <font>
      <sz val="10"/>
      <color theme="1"/>
      <name val="Arial Unicode MS"/>
      <family val="2"/>
    </font>
    <font>
      <sz val="11"/>
      <color theme="1"/>
      <name val="Aptos Narrow"/>
      <family val="2"/>
    </font>
    <font>
      <sz val="11"/>
      <name val="Aptos Narrow"/>
      <family val="2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1"/>
      <color theme="0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BE3D6"/>
        <bgColor rgb="FFDDDDDD"/>
      </patternFill>
    </fill>
    <fill>
      <patternFill patternType="solid">
        <fgColor rgb="FFDDDDDD"/>
        <bgColor rgb="FFFBE3D6"/>
      </patternFill>
    </fill>
    <fill>
      <patternFill patternType="solid">
        <fgColor theme="1"/>
        <bgColor rgb="FF003300"/>
      </patternFill>
    </fill>
    <fill>
      <patternFill patternType="solid">
        <fgColor rgb="FFFFFF00"/>
        <bgColor rgb="FFDDDDDD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2" borderId="0" xfId="0" applyNumberFormat="1" applyFill="1"/>
    <xf numFmtId="165" fontId="0" fillId="0" borderId="0" xfId="0" applyNumberFormat="1"/>
    <xf numFmtId="165" fontId="0" fillId="2" borderId="0" xfId="0" applyNumberFormat="1" applyFill="1"/>
    <xf numFmtId="166" fontId="0" fillId="0" borderId="0" xfId="0" applyNumberFormat="1"/>
    <xf numFmtId="167" fontId="0" fillId="2" borderId="0" xfId="0" applyNumberFormat="1" applyFill="1"/>
    <xf numFmtId="168" fontId="0" fillId="2" borderId="0" xfId="0" applyNumberFormat="1" applyFill="1"/>
    <xf numFmtId="169" fontId="0" fillId="0" borderId="0" xfId="0" applyNumberFormat="1"/>
    <xf numFmtId="170" fontId="0" fillId="2" borderId="0" xfId="0" applyNumberFormat="1" applyFill="1"/>
    <xf numFmtId="171" fontId="0" fillId="3" borderId="0" xfId="0" applyNumberFormat="1" applyFill="1"/>
    <xf numFmtId="172" fontId="0" fillId="3" borderId="0" xfId="0" applyNumberFormat="1" applyFill="1"/>
    <xf numFmtId="173" fontId="0" fillId="3" borderId="0" xfId="0" applyNumberFormat="1" applyFill="1"/>
    <xf numFmtId="165" fontId="0" fillId="3" borderId="0" xfId="0" applyNumberFormat="1" applyFill="1"/>
    <xf numFmtId="174" fontId="0" fillId="2" borderId="0" xfId="0" applyNumberFormat="1" applyFill="1"/>
    <xf numFmtId="175" fontId="0" fillId="2" borderId="0" xfId="0" applyNumberFormat="1" applyFill="1"/>
    <xf numFmtId="0" fontId="0" fillId="0" borderId="0" xfId="0" applyAlignment="1">
      <alignment wrapText="1"/>
    </xf>
    <xf numFmtId="177" fontId="2" fillId="0" borderId="0" xfId="0" applyNumberFormat="1" applyFont="1"/>
    <xf numFmtId="0" fontId="2" fillId="0" borderId="0" xfId="0" applyFont="1"/>
    <xf numFmtId="0" fontId="5" fillId="4" borderId="2" xfId="0" applyFont="1" applyFill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178" fontId="0" fillId="0" borderId="0" xfId="0" applyNumberFormat="1"/>
    <xf numFmtId="178" fontId="0" fillId="5" borderId="0" xfId="0" applyNumberFormat="1" applyFill="1"/>
    <xf numFmtId="0" fontId="7" fillId="0" borderId="0" xfId="0" applyFont="1" applyAlignment="1">
      <alignment vertical="center"/>
    </xf>
    <xf numFmtId="181" fontId="0" fillId="0" borderId="0" xfId="0" applyNumberFormat="1"/>
    <xf numFmtId="0" fontId="8" fillId="0" borderId="0" xfId="0" applyFont="1"/>
    <xf numFmtId="179" fontId="0" fillId="6" borderId="0" xfId="0" applyNumberFormat="1" applyFill="1"/>
    <xf numFmtId="182" fontId="7" fillId="6" borderId="0" xfId="0" applyNumberFormat="1" applyFont="1" applyFill="1" applyAlignment="1">
      <alignment vertical="center"/>
    </xf>
    <xf numFmtId="183" fontId="7" fillId="6" borderId="0" xfId="0" applyNumberFormat="1" applyFont="1" applyFill="1" applyAlignment="1">
      <alignment vertical="center"/>
    </xf>
    <xf numFmtId="184" fontId="7" fillId="6" borderId="0" xfId="0" applyNumberFormat="1" applyFont="1" applyFill="1" applyAlignment="1">
      <alignment vertical="center"/>
    </xf>
    <xf numFmtId="176" fontId="7" fillId="6" borderId="0" xfId="0" applyNumberFormat="1" applyFont="1" applyFill="1" applyAlignment="1">
      <alignment vertical="center"/>
    </xf>
    <xf numFmtId="180" fontId="9" fillId="0" borderId="0" xfId="0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2" fillId="7" borderId="0" xfId="0" applyFont="1" applyFill="1" applyAlignment="1">
      <alignment horizontal="center" vertical="center" wrapText="1"/>
    </xf>
    <xf numFmtId="185" fontId="9" fillId="0" borderId="0" xfId="0" applyNumberFormat="1" applyFont="1"/>
    <xf numFmtId="183" fontId="0" fillId="0" borderId="0" xfId="0" applyNumberFormat="1"/>
    <xf numFmtId="0" fontId="0" fillId="7" borderId="0" xfId="0" applyFill="1"/>
    <xf numFmtId="182" fontId="7" fillId="0" borderId="0" xfId="0" applyNumberFormat="1" applyFont="1" applyAlignment="1">
      <alignment vertical="center"/>
    </xf>
    <xf numFmtId="186" fontId="0" fillId="6" borderId="0" xfId="0" applyNumberFormat="1" applyFill="1"/>
    <xf numFmtId="0" fontId="0" fillId="0" borderId="6" xfId="0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4" fillId="8" borderId="18" xfId="0" applyFont="1" applyFill="1" applyBorder="1" applyAlignment="1">
      <alignment horizontal="center" vertical="center" wrapText="1"/>
    </xf>
    <xf numFmtId="0" fontId="14" fillId="8" borderId="19" xfId="0" applyFont="1" applyFill="1" applyBorder="1" applyAlignment="1">
      <alignment horizontal="center" vertical="center" wrapText="1"/>
    </xf>
    <xf numFmtId="0" fontId="14" fillId="8" borderId="2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3" fillId="8" borderId="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194" fontId="0" fillId="0" borderId="0" xfId="0" applyNumberFormat="1"/>
    <xf numFmtId="195" fontId="0" fillId="0" borderId="0" xfId="0" applyNumberFormat="1"/>
    <xf numFmtId="0" fontId="0" fillId="9" borderId="0" xfId="0" applyFill="1"/>
    <xf numFmtId="196" fontId="0" fillId="9" borderId="0" xfId="0" applyNumberFormat="1" applyFill="1"/>
    <xf numFmtId="0" fontId="0" fillId="9" borderId="0" xfId="0" applyFill="1" applyAlignment="1">
      <alignment vertical="center" wrapText="1"/>
    </xf>
    <xf numFmtId="198" fontId="0" fillId="9" borderId="0" xfId="0" applyNumberFormat="1" applyFill="1"/>
    <xf numFmtId="191" fontId="0" fillId="6" borderId="0" xfId="0" applyNumberFormat="1" applyFill="1"/>
    <xf numFmtId="193" fontId="0" fillId="6" borderId="0" xfId="0" applyNumberFormat="1" applyFill="1"/>
    <xf numFmtId="195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58"/>
  <sheetViews>
    <sheetView showGridLines="0" tabSelected="1" zoomScale="115" zoomScaleNormal="115" workbookViewId="0">
      <selection activeCell="C35" sqref="C35"/>
    </sheetView>
  </sheetViews>
  <sheetFormatPr defaultColWidth="8.77734375" defaultRowHeight="14.4" x14ac:dyDescent="0.3"/>
  <cols>
    <col min="1" max="1" width="3" customWidth="1"/>
    <col min="2" max="2" width="31.5546875" bestFit="1" customWidth="1"/>
    <col min="3" max="3" width="20" customWidth="1"/>
    <col min="4" max="4" width="2.21875" customWidth="1"/>
    <col min="5" max="5" width="31.5546875" bestFit="1" customWidth="1"/>
    <col min="6" max="6" width="18.6640625" customWidth="1"/>
    <col min="14" max="14" width="11.33203125" customWidth="1"/>
    <col min="15" max="15" width="14.109375" customWidth="1"/>
    <col min="16" max="16" width="7.44140625" customWidth="1"/>
  </cols>
  <sheetData>
    <row r="1" spans="2:17" x14ac:dyDescent="0.3">
      <c r="B1" s="62" t="s">
        <v>0</v>
      </c>
      <c r="C1" s="62"/>
      <c r="E1" s="62" t="s">
        <v>1</v>
      </c>
      <c r="F1" s="62"/>
      <c r="O1" s="1"/>
    </row>
    <row r="2" spans="2:17" x14ac:dyDescent="0.3">
      <c r="B2" t="s">
        <v>2</v>
      </c>
      <c r="C2" s="2">
        <v>12</v>
      </c>
      <c r="E2" t="s">
        <v>2</v>
      </c>
      <c r="F2" s="2">
        <f>C2</f>
        <v>12</v>
      </c>
      <c r="J2">
        <f>C2/60</f>
        <v>0.2</v>
      </c>
      <c r="M2" s="63" t="s">
        <v>3</v>
      </c>
      <c r="N2" s="63"/>
      <c r="O2" s="63"/>
      <c r="P2" s="63"/>
      <c r="Q2" s="63"/>
    </row>
    <row r="3" spans="2:17" x14ac:dyDescent="0.3">
      <c r="B3" t="s">
        <v>4</v>
      </c>
      <c r="C3">
        <v>1</v>
      </c>
      <c r="E3" t="s">
        <v>4</v>
      </c>
      <c r="F3">
        <v>1</v>
      </c>
      <c r="M3" s="64" t="s">
        <v>5</v>
      </c>
      <c r="N3" s="64" t="s">
        <v>6</v>
      </c>
      <c r="O3" s="64" t="s">
        <v>7</v>
      </c>
      <c r="P3" s="64"/>
      <c r="Q3" s="64"/>
    </row>
    <row r="4" spans="2:17" x14ac:dyDescent="0.3">
      <c r="B4" t="s">
        <v>8</v>
      </c>
      <c r="C4" s="3">
        <f>C2*C3</f>
        <v>12</v>
      </c>
      <c r="E4" t="s">
        <v>8</v>
      </c>
      <c r="F4" s="3">
        <f>F2*F3</f>
        <v>12</v>
      </c>
      <c r="J4">
        <f>F4/60</f>
        <v>0.2</v>
      </c>
      <c r="M4" s="64"/>
      <c r="N4" s="64"/>
      <c r="O4" t="s">
        <v>9</v>
      </c>
      <c r="P4" t="s">
        <v>10</v>
      </c>
      <c r="Q4" t="s">
        <v>11</v>
      </c>
    </row>
    <row r="5" spans="2:17" x14ac:dyDescent="0.3">
      <c r="B5" t="s">
        <v>12</v>
      </c>
      <c r="C5" s="4">
        <v>22</v>
      </c>
      <c r="E5" t="s">
        <v>12</v>
      </c>
      <c r="F5" s="4">
        <v>35</v>
      </c>
      <c r="M5" t="s">
        <v>13</v>
      </c>
      <c r="N5">
        <v>1</v>
      </c>
      <c r="O5">
        <f>(3.14*N5*(Planilha2!B5/1000)^2/4)*60000</f>
        <v>6.5582040000000017</v>
      </c>
    </row>
    <row r="6" spans="2:17" x14ac:dyDescent="0.3">
      <c r="B6" t="s">
        <v>14</v>
      </c>
      <c r="C6" s="5">
        <f>INDEX(Planilha2!$B$5:$B$13,MATCH(C5,Planilha2!$A$5:$A$13,2))</f>
        <v>17.600000000000001</v>
      </c>
      <c r="E6" t="s">
        <v>14</v>
      </c>
      <c r="F6" s="5">
        <f>INDEX(Planilha2!$B$5:$B$13,MATCH(F5,Planilha2!$A$5:$A$13,2))</f>
        <v>28.6</v>
      </c>
      <c r="J6">
        <f>F6/1000</f>
        <v>2.86E-2</v>
      </c>
      <c r="M6" t="s">
        <v>15</v>
      </c>
      <c r="N6">
        <v>1.1000000000000001</v>
      </c>
      <c r="O6">
        <f>(3.14*N6*(Planilha2!B6/1000)^2/4)*60000</f>
        <v>16.048665600000003</v>
      </c>
    </row>
    <row r="7" spans="2:17" x14ac:dyDescent="0.3">
      <c r="M7" t="s">
        <v>16</v>
      </c>
      <c r="N7">
        <v>1.3</v>
      </c>
      <c r="O7">
        <f>(3.14*N7*(Planilha2!B7/1000)^2/4)*60000</f>
        <v>31.27383480000001</v>
      </c>
    </row>
    <row r="8" spans="2:17" x14ac:dyDescent="0.3">
      <c r="M8" t="s">
        <v>17</v>
      </c>
      <c r="N8">
        <v>1.6</v>
      </c>
      <c r="O8">
        <f>(3.14*N8*(Planilha2!B8/1000)^2/4)*60000</f>
        <v>61.641465600000011</v>
      </c>
    </row>
    <row r="9" spans="2:17" x14ac:dyDescent="0.3">
      <c r="B9" t="s">
        <v>18</v>
      </c>
      <c r="C9" s="6">
        <v>20</v>
      </c>
      <c r="E9" t="s">
        <v>18</v>
      </c>
      <c r="F9" s="6">
        <f>C9</f>
        <v>20</v>
      </c>
      <c r="M9" t="s">
        <v>19</v>
      </c>
      <c r="N9">
        <v>1.8</v>
      </c>
      <c r="O9">
        <f>(3.14*N9*(Planilha2!B9/1000)^2/4)*60000</f>
        <v>100.32526080000005</v>
      </c>
    </row>
    <row r="10" spans="2:17" x14ac:dyDescent="0.3">
      <c r="B10" t="s">
        <v>20</v>
      </c>
      <c r="C10" s="7">
        <f>((C6/1000)^2*3.14)/4</f>
        <v>2.4316160000000003E-4</v>
      </c>
      <c r="E10" t="s">
        <v>20</v>
      </c>
      <c r="F10" s="7">
        <f>((F6/1000)^2*3.14)/4</f>
        <v>6.4209860000000011E-4</v>
      </c>
      <c r="M10" t="s">
        <v>21</v>
      </c>
      <c r="N10">
        <v>2</v>
      </c>
      <c r="O10">
        <f>(3.14*N10*(Planilha2!B10/1000)^2/4)*60000</f>
        <v>184.03288800000004</v>
      </c>
    </row>
    <row r="11" spans="2:17" x14ac:dyDescent="0.3">
      <c r="B11" t="s">
        <v>6</v>
      </c>
      <c r="C11" s="8">
        <f>(4*(C2/60)/1000)/(3.14*(C6/1000)^2)</f>
        <v>0.82249828920355839</v>
      </c>
      <c r="D11" s="9"/>
      <c r="E11" t="s">
        <v>6</v>
      </c>
      <c r="F11" s="8">
        <f>(4*(F4/60)/1000)/(3.14*(F6/1000)^2)</f>
        <v>0.31147864206525289</v>
      </c>
      <c r="M11" t="s">
        <v>22</v>
      </c>
      <c r="N11">
        <v>2.2000000000000002</v>
      </c>
      <c r="O11">
        <f>(3.14*N11*(Planilha2!B11/1000)^2/4)*60000</f>
        <v>363.15079680000002</v>
      </c>
    </row>
    <row r="12" spans="2:17" x14ac:dyDescent="0.3">
      <c r="B12" t="s">
        <v>23</v>
      </c>
      <c r="C12" s="25">
        <f>(((C9/C11)/60)/60)*(1/24)</f>
        <v>2.8143703703703706E-4</v>
      </c>
      <c r="D12" s="24"/>
      <c r="E12" t="s">
        <v>23</v>
      </c>
      <c r="F12" s="25">
        <f>(((F9/F11)/60)/60)*(1/24)</f>
        <v>7.4316967592592603E-4</v>
      </c>
      <c r="M12" t="s">
        <v>24</v>
      </c>
      <c r="N12">
        <v>2.5</v>
      </c>
      <c r="O12">
        <f>(3.14*N12*(Planilha2!B12/1000)^2/4)*60000</f>
        <v>610.41599999999994</v>
      </c>
    </row>
    <row r="13" spans="2:17" x14ac:dyDescent="0.3">
      <c r="B13" t="s">
        <v>25</v>
      </c>
      <c r="C13" s="10">
        <f>(C10*C9)*1000</f>
        <v>4.863232</v>
      </c>
      <c r="E13" t="s">
        <v>25</v>
      </c>
      <c r="F13" s="10">
        <f>(F10*F9)*1000</f>
        <v>12.841972000000002</v>
      </c>
    </row>
    <row r="15" spans="2:17" x14ac:dyDescent="0.3">
      <c r="B15" t="s">
        <v>26</v>
      </c>
      <c r="C15" s="11">
        <v>10</v>
      </c>
      <c r="E15" t="s">
        <v>26</v>
      </c>
      <c r="F15" s="11">
        <f>C15</f>
        <v>10</v>
      </c>
      <c r="J15" t="s">
        <v>29</v>
      </c>
    </row>
    <row r="16" spans="2:17" x14ac:dyDescent="0.3">
      <c r="B16" t="s">
        <v>27</v>
      </c>
      <c r="C16" s="11">
        <v>45</v>
      </c>
      <c r="E16" t="s">
        <v>27</v>
      </c>
      <c r="F16" s="11">
        <f>C16</f>
        <v>45</v>
      </c>
      <c r="J16">
        <v>6</v>
      </c>
    </row>
    <row r="17" spans="2:10" x14ac:dyDescent="0.3">
      <c r="B17" t="s">
        <v>28</v>
      </c>
      <c r="C17" s="12">
        <v>0.14000000000000001</v>
      </c>
      <c r="E17" t="s">
        <v>28</v>
      </c>
      <c r="F17" s="12">
        <v>0.14000000000000001</v>
      </c>
      <c r="J17">
        <v>10</v>
      </c>
    </row>
    <row r="18" spans="2:10" x14ac:dyDescent="0.3">
      <c r="B18" t="s">
        <v>30</v>
      </c>
      <c r="C18" s="13">
        <v>3.5999999999999997E-2</v>
      </c>
      <c r="E18" t="s">
        <v>30</v>
      </c>
      <c r="F18" s="13">
        <v>3.5999999999999997E-2</v>
      </c>
      <c r="J18">
        <v>13</v>
      </c>
    </row>
    <row r="19" spans="2:10" x14ac:dyDescent="0.3">
      <c r="B19" t="s">
        <v>31</v>
      </c>
      <c r="C19" s="14">
        <v>9</v>
      </c>
      <c r="E19" t="s">
        <v>31</v>
      </c>
      <c r="F19" s="14">
        <v>0</v>
      </c>
      <c r="J19">
        <v>19</v>
      </c>
    </row>
    <row r="20" spans="2:10" x14ac:dyDescent="0.3">
      <c r="B20" t="s">
        <v>32</v>
      </c>
      <c r="C20" s="15">
        <f>IF(C19=0,((2*3.14*(C9)*(C15-C16))/((1/C17)*(LN(C5/C6))))/1000,((2*3.14*(C9)*(C15-C16))/(((1/C17)*(LN(C5/C6))+((1/C18)*(LN((C5+C19)/C5)))))/1000))</f>
        <v>-0.39531927602373235</v>
      </c>
      <c r="E20" t="s">
        <v>32</v>
      </c>
      <c r="F20" s="15">
        <f>IF(F19=0,((2*3.14*(F9)*(F15-F16))/((1/F17)*(LN(F5/F6))))/1000,((2*3.14*(F9)*(F15-F16))/(((1/F17)*(LN(F5/F6))+((1/F18)*(LN((F5+F19)/F5)))))/1000))</f>
        <v>-3.0476176340848662</v>
      </c>
      <c r="J20">
        <v>25</v>
      </c>
    </row>
    <row r="21" spans="2:10" x14ac:dyDescent="0.3">
      <c r="B21" t="s">
        <v>33</v>
      </c>
      <c r="C21" s="16">
        <f>C13*(C15-C16)</f>
        <v>-170.21312</v>
      </c>
      <c r="E21" t="s">
        <v>33</v>
      </c>
      <c r="F21" s="16">
        <f>F13*(F15-F16)</f>
        <v>-449.46902000000006</v>
      </c>
      <c r="J21">
        <v>32</v>
      </c>
    </row>
    <row r="22" spans="2:10" x14ac:dyDescent="0.3">
      <c r="J22">
        <v>50</v>
      </c>
    </row>
    <row r="23" spans="2:10" x14ac:dyDescent="0.3">
      <c r="B23" s="28" t="s">
        <v>52</v>
      </c>
      <c r="C23" s="34">
        <v>8</v>
      </c>
      <c r="E23" s="28" t="s">
        <v>52</v>
      </c>
      <c r="F23" s="34">
        <f>C23</f>
        <v>8</v>
      </c>
    </row>
    <row r="24" spans="2:10" x14ac:dyDescent="0.3">
      <c r="B24" s="28" t="s">
        <v>43</v>
      </c>
      <c r="C24" s="29">
        <f>C4/60</f>
        <v>0.2</v>
      </c>
      <c r="E24" s="28" t="s">
        <v>43</v>
      </c>
      <c r="F24" s="29">
        <f>F4/60</f>
        <v>0.2</v>
      </c>
    </row>
    <row r="25" spans="2:10" x14ac:dyDescent="0.3">
      <c r="B25" s="28" t="s">
        <v>44</v>
      </c>
      <c r="C25" s="27">
        <f>4186</f>
        <v>4186</v>
      </c>
      <c r="E25" s="28" t="s">
        <v>44</v>
      </c>
      <c r="F25" s="27">
        <f>4186</f>
        <v>4186</v>
      </c>
    </row>
    <row r="26" spans="2:10" ht="15" x14ac:dyDescent="0.3">
      <c r="B26" s="28" t="s">
        <v>45</v>
      </c>
      <c r="C26" s="30">
        <f>1/(C53*2*PI()*(C6/1000/2)*C9)</f>
        <v>2.87420416802632E-4</v>
      </c>
      <c r="E26" s="28" t="s">
        <v>45</v>
      </c>
      <c r="F26" s="30">
        <f>1/(F53*2*PI()*(F6/1000/2)*F9)</f>
        <v>4.2383840547388142E-4</v>
      </c>
    </row>
    <row r="27" spans="2:10" ht="15" x14ac:dyDescent="0.3">
      <c r="B27" s="28" t="s">
        <v>46</v>
      </c>
      <c r="C27" s="30">
        <f>LN(C5/C6)/(2*PI()*C17*C9)</f>
        <v>1.2683714003834456E-2</v>
      </c>
      <c r="E27" s="28" t="s">
        <v>46</v>
      </c>
      <c r="F27" s="30">
        <f>LN(F5/F6)/(2*PI()*F17*F9)</f>
        <v>1.1478558235243646E-2</v>
      </c>
    </row>
    <row r="28" spans="2:10" ht="15" x14ac:dyDescent="0.3">
      <c r="B28" s="28" t="s">
        <v>47</v>
      </c>
      <c r="C28" s="30">
        <f>IF(C19=0,0,LN((C5+2*C19)/C5)/(2*PI()*C18*C9))</f>
        <v>0.13215099143540301</v>
      </c>
      <c r="E28" s="28" t="s">
        <v>47</v>
      </c>
      <c r="F28" s="30">
        <f>IF(F19=0,0,LN((F5+2*F19)/F5)/(2*PI()*F18*F9))</f>
        <v>0</v>
      </c>
    </row>
    <row r="29" spans="2:10" ht="15" x14ac:dyDescent="0.3">
      <c r="B29" s="28" t="s">
        <v>48</v>
      </c>
      <c r="C29" s="31">
        <f>(C5+2*C19)/1000</f>
        <v>0.04</v>
      </c>
      <c r="E29" s="28" t="s">
        <v>48</v>
      </c>
      <c r="F29" s="31">
        <f>(F5+2*F19)/1000</f>
        <v>3.5000000000000003E-2</v>
      </c>
    </row>
    <row r="30" spans="2:10" ht="15" x14ac:dyDescent="0.3">
      <c r="B30" s="28" t="s">
        <v>49</v>
      </c>
      <c r="C30" s="30">
        <f>1/(C23*PI()*C29*C9)</f>
        <v>4.9735919716217297E-2</v>
      </c>
      <c r="E30" s="28" t="s">
        <v>49</v>
      </c>
      <c r="F30" s="30">
        <f>1/(F23*PI()*F29*F9)</f>
        <v>5.6841051104248322E-2</v>
      </c>
    </row>
    <row r="31" spans="2:10" ht="15" x14ac:dyDescent="0.3">
      <c r="B31" s="28"/>
      <c r="C31" s="26"/>
      <c r="E31" s="28"/>
      <c r="F31" s="26"/>
    </row>
    <row r="32" spans="2:10" ht="15" x14ac:dyDescent="0.3">
      <c r="B32" s="28" t="s">
        <v>50</v>
      </c>
      <c r="C32" s="30">
        <f>C26+C27+C28+C30</f>
        <v>0.19485804557225739</v>
      </c>
      <c r="E32" s="28" t="s">
        <v>50</v>
      </c>
      <c r="F32" s="30">
        <f>F26+F27+F28+F30</f>
        <v>6.8743447744965852E-2</v>
      </c>
    </row>
    <row r="33" spans="2:6" ht="15" x14ac:dyDescent="0.3">
      <c r="B33" s="28" t="s">
        <v>51</v>
      </c>
      <c r="C33" s="32">
        <f>1/C32</f>
        <v>5.131941034629639</v>
      </c>
      <c r="E33" s="28" t="s">
        <v>51</v>
      </c>
      <c r="F33" s="32">
        <f>1/F32</f>
        <v>14.546840939807693</v>
      </c>
    </row>
    <row r="34" spans="2:6" ht="15" x14ac:dyDescent="0.3">
      <c r="B34" s="28" t="s">
        <v>53</v>
      </c>
      <c r="C34" s="33">
        <f>(C16-C15)*(1-EXP(-C33/(C24*C25)))</f>
        <v>0.21388980001865621</v>
      </c>
      <c r="E34" s="28" t="s">
        <v>53</v>
      </c>
      <c r="F34" s="33">
        <f>(F16-F15)*(1-EXP(-F33/(F24*F25)))</f>
        <v>0.6028925501912874</v>
      </c>
    </row>
    <row r="35" spans="2:6" ht="15" x14ac:dyDescent="0.3">
      <c r="B35" s="28" t="s">
        <v>54</v>
      </c>
      <c r="C35" s="33">
        <f>C16-C34</f>
        <v>44.786110199981344</v>
      </c>
      <c r="E35" s="28" t="s">
        <v>54</v>
      </c>
      <c r="F35" s="33">
        <f>F16-F34</f>
        <v>44.397107449808715</v>
      </c>
    </row>
    <row r="36" spans="2:6" x14ac:dyDescent="0.3">
      <c r="F36" s="4"/>
    </row>
    <row r="37" spans="2:6" x14ac:dyDescent="0.3">
      <c r="B37" t="s">
        <v>105</v>
      </c>
      <c r="C37" s="77">
        <f>C13*4186</f>
        <v>20357.489151999998</v>
      </c>
      <c r="E37" t="s">
        <v>105</v>
      </c>
      <c r="F37" s="77">
        <f>F13*4186</f>
        <v>53756.494792000005</v>
      </c>
    </row>
    <row r="38" spans="2:6" x14ac:dyDescent="0.3">
      <c r="B38" t="s">
        <v>106</v>
      </c>
      <c r="C38" s="78">
        <f>C32*C37</f>
        <v>3966.820548917151</v>
      </c>
      <c r="E38" t="s">
        <v>106</v>
      </c>
      <c r="F38" s="78">
        <f>F32*F37</f>
        <v>3695.4067906863811</v>
      </c>
    </row>
    <row r="39" spans="2:6" x14ac:dyDescent="0.3">
      <c r="B39" t="s">
        <v>107</v>
      </c>
      <c r="C39" s="71">
        <v>20</v>
      </c>
      <c r="E39" t="s">
        <v>107</v>
      </c>
      <c r="F39" s="71">
        <f>C39</f>
        <v>20</v>
      </c>
    </row>
    <row r="40" spans="2:6" x14ac:dyDescent="0.3">
      <c r="B40" t="s">
        <v>108</v>
      </c>
      <c r="C40" s="79">
        <f>C15+(C35-C15)*EXP(-(C39*60)/C38)</f>
        <v>35.705600900173025</v>
      </c>
      <c r="E40" t="s">
        <v>108</v>
      </c>
      <c r="F40" s="79">
        <f>F15+(F35-F15)*EXP(-(F39*60)/F38)</f>
        <v>34.859625746817969</v>
      </c>
    </row>
    <row r="41" spans="2:6" x14ac:dyDescent="0.3">
      <c r="C41" s="72"/>
      <c r="F41" s="72"/>
    </row>
    <row r="42" spans="2:6" x14ac:dyDescent="0.3">
      <c r="B42" s="73" t="s">
        <v>109</v>
      </c>
      <c r="C42" s="74">
        <v>35</v>
      </c>
      <c r="E42" s="73" t="s">
        <v>109</v>
      </c>
      <c r="F42" s="74">
        <v>35</v>
      </c>
    </row>
    <row r="43" spans="2:6" x14ac:dyDescent="0.3">
      <c r="B43" s="75" t="s">
        <v>110</v>
      </c>
      <c r="C43" s="76">
        <f>-C38*LN((C42-C15)/(C16-C15))/60</f>
        <v>22.245416372819022</v>
      </c>
      <c r="E43" s="75" t="s">
        <v>110</v>
      </c>
      <c r="F43" s="76">
        <f>-F38*LN((F42-F15)/(F16-F15))/60</f>
        <v>20.723363134791082</v>
      </c>
    </row>
    <row r="44" spans="2:6" x14ac:dyDescent="0.3">
      <c r="F44" s="4"/>
    </row>
    <row r="45" spans="2:6" x14ac:dyDescent="0.3">
      <c r="F45" s="4"/>
    </row>
    <row r="46" spans="2:6" x14ac:dyDescent="0.3">
      <c r="F46" s="4"/>
    </row>
    <row r="47" spans="2:6" x14ac:dyDescent="0.3">
      <c r="F47" s="4"/>
    </row>
    <row r="48" spans="2:6" x14ac:dyDescent="0.3">
      <c r="F48" s="4"/>
    </row>
    <row r="49" spans="2:12" x14ac:dyDescent="0.3">
      <c r="B49" t="s">
        <v>34</v>
      </c>
      <c r="C49">
        <v>7.9999999999999996E-7</v>
      </c>
      <c r="E49" t="s">
        <v>34</v>
      </c>
      <c r="F49">
        <v>7.9999999999999996E-7</v>
      </c>
    </row>
    <row r="50" spans="2:12" x14ac:dyDescent="0.3">
      <c r="B50" t="s">
        <v>35</v>
      </c>
      <c r="C50">
        <f>(C6/1000)*C11/C49</f>
        <v>18094.962362478287</v>
      </c>
      <c r="E50" t="s">
        <v>35</v>
      </c>
      <c r="F50">
        <f>(F6/1000)*F11/F49</f>
        <v>11135.361453832791</v>
      </c>
    </row>
    <row r="51" spans="2:12" x14ac:dyDescent="0.3">
      <c r="B51" s="17" t="s">
        <v>36</v>
      </c>
      <c r="C51" s="18">
        <f>0.023*(C50^0.8)*(4.6^0.3)</f>
        <v>92.597941630756466</v>
      </c>
      <c r="E51" s="17" t="s">
        <v>36</v>
      </c>
      <c r="F51" s="18">
        <f>0.023*(F50^0.8)*(4.6^0.3)</f>
        <v>62.794071124396744</v>
      </c>
      <c r="J51" t="s">
        <v>37</v>
      </c>
    </row>
    <row r="52" spans="2:12" ht="28.8" x14ac:dyDescent="0.3">
      <c r="B52" s="17" t="s">
        <v>38</v>
      </c>
      <c r="C52" s="19">
        <v>0.59799999999999998</v>
      </c>
      <c r="E52" s="17" t="s">
        <v>38</v>
      </c>
      <c r="F52" s="19">
        <v>0.59799999999999998</v>
      </c>
      <c r="K52" t="s">
        <v>0</v>
      </c>
      <c r="L52" t="s">
        <v>39</v>
      </c>
    </row>
    <row r="53" spans="2:12" x14ac:dyDescent="0.3">
      <c r="B53" t="s">
        <v>40</v>
      </c>
      <c r="C53">
        <f>C52*C51/(C6/1000)</f>
        <v>3146.2255167722933</v>
      </c>
      <c r="E53" t="s">
        <v>40</v>
      </c>
      <c r="F53">
        <f>F52*F51/(F6/1000)</f>
        <v>1312.9669416919319</v>
      </c>
      <c r="J53">
        <v>1</v>
      </c>
      <c r="K53">
        <f>23.6+5.9</f>
        <v>29.5</v>
      </c>
      <c r="L53">
        <f>23.6+3.9</f>
        <v>27.5</v>
      </c>
    </row>
    <row r="54" spans="2:12" x14ac:dyDescent="0.3">
      <c r="J54">
        <v>2</v>
      </c>
      <c r="K54">
        <f>K53+20.94+5.9</f>
        <v>56.339999999999996</v>
      </c>
      <c r="L54">
        <f>L53+4.1</f>
        <v>31.6</v>
      </c>
    </row>
    <row r="55" spans="2:12" x14ac:dyDescent="0.3">
      <c r="J55">
        <v>3</v>
      </c>
      <c r="K55">
        <f>K54+5.9+17.4</f>
        <v>79.639999999999986</v>
      </c>
      <c r="L55">
        <f>L54+5</f>
        <v>36.6</v>
      </c>
    </row>
    <row r="56" spans="2:12" x14ac:dyDescent="0.3">
      <c r="J56">
        <v>4</v>
      </c>
      <c r="K56">
        <f>K55+17.3+5.9</f>
        <v>102.83999999999999</v>
      </c>
      <c r="L56">
        <f>L55+5</f>
        <v>41.6</v>
      </c>
    </row>
    <row r="57" spans="2:12" x14ac:dyDescent="0.3">
      <c r="G57">
        <v>8</v>
      </c>
      <c r="H57">
        <v>1.3</v>
      </c>
      <c r="J57">
        <v>5</v>
      </c>
      <c r="K57">
        <f>K56+11.4+3.8+10.7</f>
        <v>128.73999999999998</v>
      </c>
      <c r="L57">
        <f>L56+9.3+3.8+0.95</f>
        <v>55.650000000000006</v>
      </c>
    </row>
    <row r="58" spans="2:12" x14ac:dyDescent="0.3">
      <c r="G58">
        <v>3</v>
      </c>
      <c r="H58">
        <v>3</v>
      </c>
      <c r="J58">
        <v>6</v>
      </c>
      <c r="K58">
        <f>K57+10.4+11+0.7</f>
        <v>150.83999999999997</v>
      </c>
      <c r="L58">
        <f>L57+2</f>
        <v>57.650000000000006</v>
      </c>
    </row>
  </sheetData>
  <mergeCells count="6">
    <mergeCell ref="B1:C1"/>
    <mergeCell ref="E1:F1"/>
    <mergeCell ref="M2:Q2"/>
    <mergeCell ref="M3:M4"/>
    <mergeCell ref="N3:N4"/>
    <mergeCell ref="O3:Q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zoomScale="160" zoomScaleNormal="160" workbookViewId="0">
      <selection activeCell="A7" sqref="A7:B8"/>
    </sheetView>
  </sheetViews>
  <sheetFormatPr defaultColWidth="8.77734375" defaultRowHeight="14.4" x14ac:dyDescent="0.3"/>
  <cols>
    <col min="1" max="1" width="19.44140625" customWidth="1"/>
    <col min="2" max="2" width="20.6640625" customWidth="1"/>
  </cols>
  <sheetData>
    <row r="1" spans="1:2" ht="19.350000000000001" customHeight="1" x14ac:dyDescent="0.3">
      <c r="A1" s="65" t="s">
        <v>14</v>
      </c>
      <c r="B1" s="65"/>
    </row>
    <row r="2" spans="1:2" ht="14.25" customHeight="1" x14ac:dyDescent="0.3">
      <c r="A2" s="66" t="s">
        <v>41</v>
      </c>
      <c r="B2" s="67" t="s">
        <v>42</v>
      </c>
    </row>
    <row r="3" spans="1:2" x14ac:dyDescent="0.3">
      <c r="A3" s="66"/>
      <c r="B3" s="67"/>
    </row>
    <row r="4" spans="1:2" x14ac:dyDescent="0.3">
      <c r="A4" s="66"/>
      <c r="B4" s="67"/>
    </row>
    <row r="5" spans="1:2" x14ac:dyDescent="0.3">
      <c r="A5" s="20">
        <v>15</v>
      </c>
      <c r="B5" s="21">
        <f>A5-1.6-1.6</f>
        <v>11.8</v>
      </c>
    </row>
    <row r="6" spans="1:2" x14ac:dyDescent="0.3">
      <c r="A6" s="20">
        <v>22</v>
      </c>
      <c r="B6" s="21">
        <f>A6-2.2-2.2</f>
        <v>17.600000000000001</v>
      </c>
    </row>
    <row r="7" spans="1:2" x14ac:dyDescent="0.3">
      <c r="A7" s="20">
        <v>28</v>
      </c>
      <c r="B7" s="21">
        <f>A7-2.7-2.7</f>
        <v>22.6</v>
      </c>
    </row>
    <row r="8" spans="1:2" x14ac:dyDescent="0.3">
      <c r="A8" s="20">
        <v>35</v>
      </c>
      <c r="B8" s="21">
        <f>A8-3.2-3.2</f>
        <v>28.6</v>
      </c>
    </row>
    <row r="9" spans="1:2" x14ac:dyDescent="0.3">
      <c r="A9" s="20">
        <v>42</v>
      </c>
      <c r="B9" s="21">
        <f>A9-3.8-3.8</f>
        <v>34.400000000000006</v>
      </c>
    </row>
    <row r="10" spans="1:2" x14ac:dyDescent="0.3">
      <c r="A10" s="20">
        <v>54</v>
      </c>
      <c r="B10" s="21">
        <f>A10-4.9-4.9</f>
        <v>44.2</v>
      </c>
    </row>
    <row r="11" spans="1:2" x14ac:dyDescent="0.3">
      <c r="A11" s="20">
        <v>73</v>
      </c>
      <c r="B11" s="21">
        <f>A11-6.9-6.9</f>
        <v>59.199999999999996</v>
      </c>
    </row>
    <row r="12" spans="1:2" x14ac:dyDescent="0.3">
      <c r="A12" s="20">
        <v>89</v>
      </c>
      <c r="B12" s="21">
        <f>A12-8.5-8.5</f>
        <v>72</v>
      </c>
    </row>
    <row r="13" spans="1:2" x14ac:dyDescent="0.3">
      <c r="A13" s="22">
        <v>114</v>
      </c>
      <c r="B13" s="23">
        <f>A13-10.4-10.4</f>
        <v>93.199999999999989</v>
      </c>
    </row>
  </sheetData>
  <mergeCells count="3">
    <mergeCell ref="A1:B1"/>
    <mergeCell ref="A2:A4"/>
    <mergeCell ref="B2:B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A158-5F9A-4A33-A452-AEFDB22C6EDA}">
  <dimension ref="A1:B9"/>
  <sheetViews>
    <sheetView workbookViewId="0">
      <selection activeCell="A2" sqref="A2:B4"/>
    </sheetView>
  </sheetViews>
  <sheetFormatPr defaultRowHeight="14.4" x14ac:dyDescent="0.3"/>
  <cols>
    <col min="1" max="1" width="21.33203125" customWidth="1"/>
    <col min="2" max="2" width="10.21875" customWidth="1"/>
  </cols>
  <sheetData>
    <row r="1" spans="1:2" ht="33.6" customHeight="1" x14ac:dyDescent="0.3">
      <c r="A1" s="38" t="s">
        <v>55</v>
      </c>
      <c r="B1" s="38" t="s">
        <v>64</v>
      </c>
    </row>
    <row r="2" spans="1:2" x14ac:dyDescent="0.3">
      <c r="A2" s="36" t="s">
        <v>56</v>
      </c>
      <c r="B2" s="35">
        <v>3</v>
      </c>
    </row>
    <row r="3" spans="1:2" x14ac:dyDescent="0.3">
      <c r="A3" s="36" t="s">
        <v>57</v>
      </c>
      <c r="B3" s="35">
        <v>5</v>
      </c>
    </row>
    <row r="4" spans="1:2" x14ac:dyDescent="0.3">
      <c r="A4" s="36" t="s">
        <v>58</v>
      </c>
      <c r="B4" s="35">
        <v>7</v>
      </c>
    </row>
    <row r="5" spans="1:2" x14ac:dyDescent="0.3">
      <c r="A5" s="36" t="s">
        <v>59</v>
      </c>
      <c r="B5" s="35">
        <v>4</v>
      </c>
    </row>
    <row r="6" spans="1:2" x14ac:dyDescent="0.3">
      <c r="A6" s="36" t="s">
        <v>60</v>
      </c>
      <c r="B6" s="35">
        <v>12</v>
      </c>
    </row>
    <row r="7" spans="1:2" x14ac:dyDescent="0.3">
      <c r="A7" s="36" t="s">
        <v>61</v>
      </c>
      <c r="B7" s="35">
        <v>20</v>
      </c>
    </row>
    <row r="8" spans="1:2" x14ac:dyDescent="0.3">
      <c r="A8" s="36" t="s">
        <v>62</v>
      </c>
      <c r="B8" s="35">
        <v>35</v>
      </c>
    </row>
    <row r="9" spans="1:2" x14ac:dyDescent="0.3">
      <c r="B9" s="3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3966-535C-4161-8D39-BAD5FA2D7233}">
  <dimension ref="A1:Q61"/>
  <sheetViews>
    <sheetView zoomScale="115" zoomScaleNormal="115" workbookViewId="0">
      <selection activeCell="F3" activeCellId="1" sqref="C3 F3"/>
    </sheetView>
  </sheetViews>
  <sheetFormatPr defaultColWidth="8.77734375" defaultRowHeight="14.4" x14ac:dyDescent="0.3"/>
  <cols>
    <col min="1" max="1" width="3" customWidth="1"/>
    <col min="2" max="2" width="27.21875" customWidth="1"/>
    <col min="3" max="3" width="20" customWidth="1"/>
    <col min="4" max="4" width="2.21875" customWidth="1"/>
    <col min="5" max="5" width="27.5546875" customWidth="1"/>
    <col min="6" max="6" width="18.6640625" customWidth="1"/>
    <col min="14" max="14" width="11.33203125" customWidth="1"/>
    <col min="15" max="15" width="14.109375" customWidth="1"/>
    <col min="16" max="16" width="7.44140625" customWidth="1"/>
  </cols>
  <sheetData>
    <row r="1" spans="2:17" x14ac:dyDescent="0.3">
      <c r="B1" s="62" t="s">
        <v>0</v>
      </c>
      <c r="C1" s="62"/>
      <c r="E1" s="62" t="s">
        <v>1</v>
      </c>
      <c r="F1" s="62"/>
      <c r="O1" s="1"/>
    </row>
    <row r="2" spans="2:17" x14ac:dyDescent="0.3">
      <c r="B2" t="s">
        <v>2</v>
      </c>
      <c r="C2" s="2">
        <v>12</v>
      </c>
      <c r="E2" t="s">
        <v>2</v>
      </c>
      <c r="F2" s="2">
        <f>C2</f>
        <v>12</v>
      </c>
      <c r="J2">
        <f>C2/60</f>
        <v>0.2</v>
      </c>
      <c r="M2" s="63" t="s">
        <v>3</v>
      </c>
      <c r="N2" s="63"/>
      <c r="O2" s="63"/>
      <c r="P2" s="63"/>
      <c r="Q2" s="63"/>
    </row>
    <row r="3" spans="2:17" x14ac:dyDescent="0.3">
      <c r="B3" t="s">
        <v>4</v>
      </c>
      <c r="C3">
        <v>1</v>
      </c>
      <c r="E3" t="s">
        <v>4</v>
      </c>
      <c r="F3">
        <f>C3</f>
        <v>1</v>
      </c>
      <c r="M3" s="64" t="s">
        <v>5</v>
      </c>
      <c r="N3" s="64" t="s">
        <v>6</v>
      </c>
      <c r="O3" s="64" t="s">
        <v>7</v>
      </c>
      <c r="P3" s="64"/>
      <c r="Q3" s="64"/>
    </row>
    <row r="4" spans="2:17" x14ac:dyDescent="0.3">
      <c r="B4" t="s">
        <v>8</v>
      </c>
      <c r="C4" s="3">
        <f>C2*C3</f>
        <v>12</v>
      </c>
      <c r="E4" t="s">
        <v>8</v>
      </c>
      <c r="F4" s="3">
        <f>F2*F3</f>
        <v>12</v>
      </c>
      <c r="J4">
        <f>F4/60</f>
        <v>0.2</v>
      </c>
      <c r="M4" s="64"/>
      <c r="N4" s="64"/>
      <c r="O4" t="s">
        <v>9</v>
      </c>
      <c r="P4" t="s">
        <v>10</v>
      </c>
      <c r="Q4" t="s">
        <v>11</v>
      </c>
    </row>
    <row r="5" spans="2:17" x14ac:dyDescent="0.3">
      <c r="B5" t="s">
        <v>12</v>
      </c>
      <c r="C5" s="4">
        <v>22</v>
      </c>
      <c r="E5" t="s">
        <v>12</v>
      </c>
      <c r="F5" s="4">
        <v>42</v>
      </c>
      <c r="M5" t="s">
        <v>13</v>
      </c>
      <c r="N5">
        <v>1</v>
      </c>
      <c r="O5">
        <f>(3.14*N5*(Planilha2!B5/1000)^2/4)*60000</f>
        <v>6.5582040000000017</v>
      </c>
    </row>
    <row r="6" spans="2:17" x14ac:dyDescent="0.3">
      <c r="B6" t="s">
        <v>14</v>
      </c>
      <c r="C6" s="5">
        <f>INDEX(Planilha2!$B$5:$B$13,MATCH(C5,Planilha2!$A$5:$A$13,2))</f>
        <v>17.600000000000001</v>
      </c>
      <c r="E6" t="s">
        <v>14</v>
      </c>
      <c r="F6" s="5">
        <f>INDEX(Planilha2!$B$5:$B$13,MATCH(F5,Planilha2!$A$5:$A$13,2))</f>
        <v>34.400000000000006</v>
      </c>
      <c r="J6">
        <f>F6/1000</f>
        <v>3.4400000000000007E-2</v>
      </c>
      <c r="M6" t="s">
        <v>15</v>
      </c>
      <c r="N6">
        <v>1.1000000000000001</v>
      </c>
      <c r="O6">
        <f>(3.14*N6*(Planilha2!B6/1000)^2/4)*60000</f>
        <v>16.048665600000003</v>
      </c>
    </row>
    <row r="7" spans="2:17" x14ac:dyDescent="0.3">
      <c r="M7" t="s">
        <v>16</v>
      </c>
      <c r="N7">
        <v>1.3</v>
      </c>
      <c r="O7">
        <f>(3.14*N7*(Planilha2!B7/1000)^2/4)*60000</f>
        <v>31.27383480000001</v>
      </c>
    </row>
    <row r="8" spans="2:17" x14ac:dyDescent="0.3">
      <c r="M8" t="s">
        <v>17</v>
      </c>
      <c r="N8">
        <v>1.6</v>
      </c>
      <c r="O8">
        <f>(3.14*N8*(Planilha2!B8/1000)^2/4)*60000</f>
        <v>61.641465600000011</v>
      </c>
    </row>
    <row r="9" spans="2:17" x14ac:dyDescent="0.3">
      <c r="B9" t="s">
        <v>18</v>
      </c>
      <c r="C9" s="6">
        <v>20</v>
      </c>
      <c r="E9" t="s">
        <v>18</v>
      </c>
      <c r="F9" s="6">
        <f>C9</f>
        <v>20</v>
      </c>
      <c r="M9" t="s">
        <v>19</v>
      </c>
      <c r="N9">
        <v>1.8</v>
      </c>
      <c r="O9">
        <f>(3.14*N9*(Planilha2!B9/1000)^2/4)*60000</f>
        <v>100.32526080000005</v>
      </c>
    </row>
    <row r="10" spans="2:17" x14ac:dyDescent="0.3">
      <c r="B10" t="s">
        <v>20</v>
      </c>
      <c r="C10" s="7">
        <f>((C6/1000)^2*3.14)/4</f>
        <v>2.4316160000000003E-4</v>
      </c>
      <c r="E10" t="s">
        <v>20</v>
      </c>
      <c r="F10" s="7">
        <f>((F6/1000)^2*3.14)/4</f>
        <v>9.2893760000000044E-4</v>
      </c>
      <c r="M10" t="s">
        <v>21</v>
      </c>
      <c r="N10">
        <v>2</v>
      </c>
      <c r="O10">
        <f>(3.14*N10*(Planilha2!B10/1000)^2/4)*60000</f>
        <v>184.03288800000004</v>
      </c>
    </row>
    <row r="11" spans="2:17" x14ac:dyDescent="0.3">
      <c r="B11" t="s">
        <v>6</v>
      </c>
      <c r="C11" s="8">
        <f>(4*(C2/60)/1000)/(3.14*(C6/1000)^2)</f>
        <v>0.82249828920355839</v>
      </c>
      <c r="D11" s="9"/>
      <c r="E11" t="s">
        <v>6</v>
      </c>
      <c r="F11" s="8">
        <f>(4*(F4/60)/1000)/(3.14*(F6/1000)^2)</f>
        <v>0.2152997144264587</v>
      </c>
      <c r="M11" t="s">
        <v>22</v>
      </c>
      <c r="N11">
        <v>2.2000000000000002</v>
      </c>
      <c r="O11">
        <f>(3.14*N11*(Planilha2!B11/1000)^2/4)*60000</f>
        <v>363.15079680000002</v>
      </c>
    </row>
    <row r="12" spans="2:17" x14ac:dyDescent="0.3">
      <c r="B12" t="s">
        <v>23</v>
      </c>
      <c r="C12" s="25">
        <f>(((C9/C11)/60)/60)*(1/24)</f>
        <v>2.8143703703703706E-4</v>
      </c>
      <c r="D12" s="24"/>
      <c r="E12" t="s">
        <v>23</v>
      </c>
      <c r="F12" s="25">
        <f>(((F9/F11)/60)/60)*(1/24)</f>
        <v>1.0751592592592595E-3</v>
      </c>
      <c r="M12" t="s">
        <v>24</v>
      </c>
      <c r="N12">
        <v>2.5</v>
      </c>
      <c r="O12">
        <f>(3.14*N12*(Planilha2!B12/1000)^2/4)*60000</f>
        <v>610.41599999999994</v>
      </c>
    </row>
    <row r="13" spans="2:17" x14ac:dyDescent="0.3">
      <c r="B13" t="s">
        <v>25</v>
      </c>
      <c r="C13" s="10">
        <f>(C10*C9)*1000</f>
        <v>4.863232</v>
      </c>
      <c r="E13" t="s">
        <v>25</v>
      </c>
      <c r="F13" s="10">
        <f>(F10*F9)*1000</f>
        <v>18.578752000000009</v>
      </c>
    </row>
    <row r="15" spans="2:17" x14ac:dyDescent="0.3">
      <c r="B15" t="s">
        <v>26</v>
      </c>
      <c r="C15" s="11">
        <v>10</v>
      </c>
      <c r="E15" t="s">
        <v>26</v>
      </c>
      <c r="F15" s="11">
        <f>C15</f>
        <v>10</v>
      </c>
      <c r="J15" t="s">
        <v>29</v>
      </c>
    </row>
    <row r="16" spans="2:17" x14ac:dyDescent="0.3">
      <c r="B16" t="s">
        <v>27</v>
      </c>
      <c r="C16" s="11">
        <v>45</v>
      </c>
      <c r="E16" t="s">
        <v>27</v>
      </c>
      <c r="F16" s="11">
        <f>C16</f>
        <v>45</v>
      </c>
      <c r="J16">
        <v>6</v>
      </c>
    </row>
    <row r="17" spans="1:10" x14ac:dyDescent="0.3">
      <c r="B17" t="s">
        <v>28</v>
      </c>
      <c r="C17" s="12">
        <v>0.14000000000000001</v>
      </c>
      <c r="E17" t="s">
        <v>28</v>
      </c>
      <c r="F17" s="12">
        <v>0.14000000000000001</v>
      </c>
      <c r="J17">
        <v>10</v>
      </c>
    </row>
    <row r="18" spans="1:10" x14ac:dyDescent="0.3">
      <c r="B18" t="s">
        <v>30</v>
      </c>
      <c r="C18" s="13">
        <v>3.5999999999999997E-2</v>
      </c>
      <c r="E18" t="s">
        <v>30</v>
      </c>
      <c r="F18" s="13">
        <v>3.5999999999999997E-2</v>
      </c>
      <c r="J18">
        <v>13</v>
      </c>
    </row>
    <row r="19" spans="1:10" x14ac:dyDescent="0.3">
      <c r="B19" t="s">
        <v>31</v>
      </c>
      <c r="C19" s="14">
        <v>0</v>
      </c>
      <c r="E19" t="s">
        <v>31</v>
      </c>
      <c r="F19" s="14">
        <v>0</v>
      </c>
      <c r="J19">
        <v>19</v>
      </c>
    </row>
    <row r="20" spans="1:10" x14ac:dyDescent="0.3">
      <c r="B20" t="s">
        <v>32</v>
      </c>
      <c r="C20" s="15">
        <f>IF(C19=0,((2*3.14*(C9)*(C15-C16))/((1/C17)*(LN(C5/C6))))/1000,((2*3.14*(C9)*(C15-C16))/(((1/C17)*(LN(C5/C6))+((1/C18)*(LN((C5+C19)/C5)))))/1000))</f>
        <v>-2.7580451972523972</v>
      </c>
      <c r="E20" t="s">
        <v>32</v>
      </c>
      <c r="F20" s="15">
        <f>IF(F19=0,((2*3.14*(F9)*(F15-F16))/((1/F17)*(LN(F5/F6))))/1000,((2*3.14*(F9)*(F15-F16))/(((1/F17)*(LN(F5/F6))+((1/F18)*(LN((F5+F19)/F5)))))/1000))</f>
        <v>-3.0831650934809929</v>
      </c>
      <c r="J20">
        <v>25</v>
      </c>
    </row>
    <row r="21" spans="1:10" x14ac:dyDescent="0.3">
      <c r="B21" t="s">
        <v>33</v>
      </c>
      <c r="C21" s="16">
        <f>C13*(C15-C16)</f>
        <v>-170.21312</v>
      </c>
      <c r="E21" t="s">
        <v>33</v>
      </c>
      <c r="F21" s="16">
        <f>F13*(F15-F16)</f>
        <v>-650.2563200000003</v>
      </c>
      <c r="J21">
        <v>32</v>
      </c>
    </row>
    <row r="22" spans="1:10" x14ac:dyDescent="0.3">
      <c r="J22">
        <v>50</v>
      </c>
    </row>
    <row r="23" spans="1:10" x14ac:dyDescent="0.3">
      <c r="B23" s="28" t="s">
        <v>65</v>
      </c>
      <c r="C23" s="39">
        <v>1.5</v>
      </c>
      <c r="E23" s="28" t="s">
        <v>65</v>
      </c>
      <c r="F23" s="39">
        <f>C23</f>
        <v>1.5</v>
      </c>
    </row>
    <row r="24" spans="1:10" x14ac:dyDescent="0.3">
      <c r="B24" s="28" t="s">
        <v>43</v>
      </c>
      <c r="C24" s="29">
        <f>C4/60</f>
        <v>0.2</v>
      </c>
      <c r="E24" s="28" t="s">
        <v>43</v>
      </c>
      <c r="F24" s="29">
        <f>F4/60</f>
        <v>0.2</v>
      </c>
    </row>
    <row r="25" spans="1:10" x14ac:dyDescent="0.3">
      <c r="B25" s="28" t="s">
        <v>66</v>
      </c>
      <c r="C25" s="40">
        <v>0.5</v>
      </c>
      <c r="E25" s="28" t="s">
        <v>66</v>
      </c>
      <c r="F25" s="40">
        <f>C25</f>
        <v>0.5</v>
      </c>
    </row>
    <row r="26" spans="1:10" x14ac:dyDescent="0.3">
      <c r="B26" t="s">
        <v>44</v>
      </c>
      <c r="C26" s="43">
        <v>4186</v>
      </c>
      <c r="E26" t="s">
        <v>44</v>
      </c>
      <c r="F26" s="43">
        <v>4186</v>
      </c>
    </row>
    <row r="27" spans="1:10" ht="15" x14ac:dyDescent="0.3">
      <c r="A27" s="41"/>
      <c r="B27" s="28" t="s">
        <v>45</v>
      </c>
      <c r="C27" s="30">
        <f>1/(C56*2*PI()*(C6/1000/2)*C9)</f>
        <v>2.87420416802632E-4</v>
      </c>
      <c r="E27" s="28" t="s">
        <v>45</v>
      </c>
      <c r="F27" s="30">
        <f>1/(F56*2*PI()*(F6/1000/2)*F9)</f>
        <v>4.9130845116494468E-4</v>
      </c>
    </row>
    <row r="28" spans="1:10" ht="15" x14ac:dyDescent="0.3">
      <c r="A28" s="41"/>
      <c r="B28" s="28" t="s">
        <v>46</v>
      </c>
      <c r="C28" s="30">
        <f>LN(C5/C6)/(2*PI()*C17*C9)</f>
        <v>1.2683714003834456E-2</v>
      </c>
      <c r="E28" s="28" t="s">
        <v>46</v>
      </c>
      <c r="F28" s="30">
        <f>LN(F5/F6)/(2*PI()*F17*F9)</f>
        <v>1.1346215798033216E-2</v>
      </c>
    </row>
    <row r="29" spans="1:10" ht="15" x14ac:dyDescent="0.3">
      <c r="A29" s="41"/>
      <c r="B29" s="28" t="s">
        <v>47</v>
      </c>
      <c r="C29" s="30">
        <f>IF(C19=0,0,LN((C5+2*C19)/C5)/(2*PI()*C18*C9))</f>
        <v>0</v>
      </c>
      <c r="E29" s="28" t="s">
        <v>47</v>
      </c>
      <c r="F29" s="30">
        <f>IF(F19=0,0,LN((F5+2*F19)/F5)/(2*PI()*F18*F9))</f>
        <v>0</v>
      </c>
    </row>
    <row r="30" spans="1:10" ht="15" x14ac:dyDescent="0.3">
      <c r="B30" s="28" t="s">
        <v>48</v>
      </c>
      <c r="C30" s="31">
        <f>(C5+2*C19)/1000</f>
        <v>2.1999999999999999E-2</v>
      </c>
      <c r="E30" s="28" t="s">
        <v>48</v>
      </c>
      <c r="F30" s="31">
        <f>(F5+2*F19)/1000</f>
        <v>4.2000000000000003E-2</v>
      </c>
    </row>
    <row r="31" spans="1:10" ht="15" x14ac:dyDescent="0.3">
      <c r="B31" s="28" t="s">
        <v>67</v>
      </c>
      <c r="C31" s="30">
        <f>LN(C25/(C30/2))/(2*PI()*C23*C9)</f>
        <v>2.0248290418675544E-2</v>
      </c>
      <c r="E31" s="28" t="s">
        <v>67</v>
      </c>
      <c r="F31" s="30">
        <f>LN(F25/(F30/2))/(2*PI()*F23*F9)</f>
        <v>1.6817826764164864E-2</v>
      </c>
    </row>
    <row r="32" spans="1:10" ht="15" x14ac:dyDescent="0.3">
      <c r="B32" s="28"/>
      <c r="C32" s="42"/>
      <c r="E32" s="28"/>
      <c r="F32" s="42"/>
    </row>
    <row r="33" spans="2:6" ht="15" x14ac:dyDescent="0.3">
      <c r="B33" s="28" t="s">
        <v>50</v>
      </c>
      <c r="C33" s="30">
        <f>C27+C28+C29+C31</f>
        <v>3.3219424839312631E-2</v>
      </c>
      <c r="E33" s="28" t="s">
        <v>50</v>
      </c>
      <c r="F33" s="30">
        <f>F27+F28+F29+F31</f>
        <v>2.8655351013363025E-2</v>
      </c>
    </row>
    <row r="34" spans="2:6" ht="15" x14ac:dyDescent="0.3">
      <c r="B34" s="28" t="s">
        <v>51</v>
      </c>
      <c r="C34" s="32">
        <f>1/C33</f>
        <v>30.10286917480212</v>
      </c>
      <c r="E34" s="28" t="s">
        <v>51</v>
      </c>
      <c r="F34" s="32">
        <f>1/F33</f>
        <v>34.897496091870025</v>
      </c>
    </row>
    <row r="35" spans="2:6" ht="15" x14ac:dyDescent="0.3">
      <c r="B35" s="28" t="s">
        <v>53</v>
      </c>
      <c r="C35" s="33">
        <f>(C16-C15)*(1-EXP(-C34/(C24*C26)))</f>
        <v>1.2361245550840927</v>
      </c>
      <c r="E35" s="28" t="s">
        <v>53</v>
      </c>
      <c r="F35" s="33">
        <f>(F16-F15)*(1-EXP(-F34/(F24*F26)))</f>
        <v>1.4289369214881513</v>
      </c>
    </row>
    <row r="36" spans="2:6" ht="15" x14ac:dyDescent="0.3">
      <c r="B36" s="28" t="s">
        <v>54</v>
      </c>
      <c r="C36" s="33">
        <f>C16-C35</f>
        <v>43.763875444915911</v>
      </c>
      <c r="E36" s="28" t="s">
        <v>54</v>
      </c>
      <c r="F36" s="33">
        <f>F16-F35</f>
        <v>43.571063078511848</v>
      </c>
    </row>
    <row r="37" spans="2:6" x14ac:dyDescent="0.3">
      <c r="F37" s="4"/>
    </row>
    <row r="38" spans="2:6" x14ac:dyDescent="0.3">
      <c r="B38" t="s">
        <v>105</v>
      </c>
      <c r="C38" s="77">
        <f>C13*4186</f>
        <v>20357.489151999998</v>
      </c>
      <c r="E38" t="s">
        <v>105</v>
      </c>
      <c r="F38" s="77">
        <f>F13*4186</f>
        <v>77770.655872000032</v>
      </c>
    </row>
    <row r="39" spans="2:6" x14ac:dyDescent="0.3">
      <c r="B39" t="s">
        <v>106</v>
      </c>
      <c r="C39" s="78">
        <f>C33*C38</f>
        <v>676.26408080198621</v>
      </c>
      <c r="E39" t="s">
        <v>106</v>
      </c>
      <c r="F39" s="78">
        <f>F33*F38</f>
        <v>2228.5454425516232</v>
      </c>
    </row>
    <row r="40" spans="2:6" x14ac:dyDescent="0.3">
      <c r="B40" t="s">
        <v>107</v>
      </c>
      <c r="C40" s="71">
        <v>20</v>
      </c>
      <c r="E40" t="s">
        <v>107</v>
      </c>
      <c r="F40" s="71">
        <v>20</v>
      </c>
    </row>
    <row r="41" spans="2:6" x14ac:dyDescent="0.3">
      <c r="B41" t="s">
        <v>108</v>
      </c>
      <c r="C41" s="79">
        <f>C16+(C36-C16)*EXP(-(C40*60)/C39)</f>
        <v>44.790383080689509</v>
      </c>
      <c r="E41" t="s">
        <v>108</v>
      </c>
      <c r="F41" s="79">
        <f>F16+(F36-F16)*EXP(-(F40*60)/F39)</f>
        <v>44.166012663632664</v>
      </c>
    </row>
    <row r="42" spans="2:6" x14ac:dyDescent="0.3">
      <c r="C42" s="72"/>
      <c r="F42" s="72"/>
    </row>
    <row r="43" spans="2:6" x14ac:dyDescent="0.3">
      <c r="B43" s="73" t="s">
        <v>109</v>
      </c>
      <c r="C43" s="74">
        <v>35</v>
      </c>
      <c r="E43" s="73" t="s">
        <v>109</v>
      </c>
      <c r="F43" s="74">
        <v>35</v>
      </c>
    </row>
    <row r="44" spans="2:6" x14ac:dyDescent="0.3">
      <c r="B44" s="75" t="s">
        <v>110</v>
      </c>
      <c r="C44" s="76">
        <f>-C39*LN((C43-C16)/(C17-C16))/60</f>
        <v>16.917438431700905</v>
      </c>
      <c r="E44" s="75" t="s">
        <v>110</v>
      </c>
      <c r="F44" s="76">
        <f>-F39*LN((F43-F16)/(F17-F16))/60</f>
        <v>55.749346131032901</v>
      </c>
    </row>
    <row r="45" spans="2:6" x14ac:dyDescent="0.3">
      <c r="F45" s="4"/>
    </row>
    <row r="46" spans="2:6" x14ac:dyDescent="0.3">
      <c r="F46" s="4"/>
    </row>
    <row r="47" spans="2:6" x14ac:dyDescent="0.3">
      <c r="F47" s="4"/>
    </row>
    <row r="48" spans="2:6" x14ac:dyDescent="0.3">
      <c r="F48" s="4"/>
    </row>
    <row r="49" spans="2:12" x14ac:dyDescent="0.3">
      <c r="F49" s="4"/>
    </row>
    <row r="50" spans="2:12" x14ac:dyDescent="0.3">
      <c r="F50" s="4"/>
    </row>
    <row r="51" spans="2:12" x14ac:dyDescent="0.3">
      <c r="F51" s="4"/>
    </row>
    <row r="52" spans="2:12" x14ac:dyDescent="0.3">
      <c r="B52" t="s">
        <v>34</v>
      </c>
      <c r="C52">
        <v>7.9999999999999996E-7</v>
      </c>
      <c r="E52" t="s">
        <v>34</v>
      </c>
      <c r="F52">
        <v>7.9999999999999996E-7</v>
      </c>
    </row>
    <row r="53" spans="2:12" x14ac:dyDescent="0.3">
      <c r="B53" t="s">
        <v>35</v>
      </c>
      <c r="C53">
        <f>(C6/1000)*C11/C52</f>
        <v>18094.962362478287</v>
      </c>
      <c r="E53" t="s">
        <v>35</v>
      </c>
      <c r="F53">
        <f>(F6/1000)*F11/F52</f>
        <v>9257.8877203377269</v>
      </c>
    </row>
    <row r="54" spans="2:12" x14ac:dyDescent="0.3">
      <c r="B54" s="17" t="s">
        <v>36</v>
      </c>
      <c r="C54" s="18">
        <f>0.023*(C53^0.8)*(4.6^0.3)</f>
        <v>92.597941630756466</v>
      </c>
      <c r="E54" s="17" t="s">
        <v>36</v>
      </c>
      <c r="F54" s="18">
        <f>0.023*(F53^0.8)*(4.6^0.3)</f>
        <v>54.170733101520867</v>
      </c>
      <c r="J54" t="s">
        <v>37</v>
      </c>
    </row>
    <row r="55" spans="2:12" ht="28.8" x14ac:dyDescent="0.3">
      <c r="B55" s="17" t="s">
        <v>38</v>
      </c>
      <c r="C55" s="19">
        <v>0.59799999999999998</v>
      </c>
      <c r="E55" s="17" t="s">
        <v>38</v>
      </c>
      <c r="F55" s="19">
        <v>0.59799999999999998</v>
      </c>
      <c r="K55" t="s">
        <v>0</v>
      </c>
      <c r="L55" t="s">
        <v>39</v>
      </c>
    </row>
    <row r="56" spans="2:12" x14ac:dyDescent="0.3">
      <c r="B56" t="s">
        <v>40</v>
      </c>
      <c r="C56">
        <f>C55*C54/(C6/1000)</f>
        <v>3146.2255167722933</v>
      </c>
      <c r="E56" t="s">
        <v>40</v>
      </c>
      <c r="F56">
        <f>F55*F54/(F6/1000)</f>
        <v>941.68890682294966</v>
      </c>
      <c r="J56">
        <v>1</v>
      </c>
      <c r="K56">
        <f>23.6+5.9</f>
        <v>29.5</v>
      </c>
      <c r="L56">
        <f>23.6+3.9</f>
        <v>27.5</v>
      </c>
    </row>
    <row r="57" spans="2:12" x14ac:dyDescent="0.3">
      <c r="J57">
        <v>2</v>
      </c>
      <c r="K57">
        <f>K56+20.94+5.9</f>
        <v>56.339999999999996</v>
      </c>
      <c r="L57">
        <f>L56+4.1</f>
        <v>31.6</v>
      </c>
    </row>
    <row r="58" spans="2:12" x14ac:dyDescent="0.3">
      <c r="J58">
        <v>3</v>
      </c>
      <c r="K58">
        <f>K57+5.9+17.4</f>
        <v>79.639999999999986</v>
      </c>
      <c r="L58">
        <f>L57+5</f>
        <v>36.6</v>
      </c>
    </row>
    <row r="59" spans="2:12" x14ac:dyDescent="0.3">
      <c r="J59">
        <v>4</v>
      </c>
      <c r="K59">
        <f>K58+17.3+5.9</f>
        <v>102.83999999999999</v>
      </c>
      <c r="L59">
        <f>L58+5</f>
        <v>41.6</v>
      </c>
    </row>
    <row r="60" spans="2:12" x14ac:dyDescent="0.3">
      <c r="G60">
        <v>8</v>
      </c>
      <c r="H60">
        <v>1.3</v>
      </c>
      <c r="J60">
        <v>5</v>
      </c>
      <c r="K60">
        <f>K59+11.4+3.8+10.7</f>
        <v>128.73999999999998</v>
      </c>
      <c r="L60">
        <f>L59+9.3+3.8+0.95</f>
        <v>55.650000000000006</v>
      </c>
    </row>
    <row r="61" spans="2:12" x14ac:dyDescent="0.3">
      <c r="G61">
        <v>3</v>
      </c>
      <c r="H61">
        <v>3</v>
      </c>
      <c r="J61">
        <v>6</v>
      </c>
      <c r="K61">
        <f>K60+10.4+11+0.7</f>
        <v>150.83999999999997</v>
      </c>
      <c r="L61">
        <f>L60+2</f>
        <v>57.650000000000006</v>
      </c>
    </row>
  </sheetData>
  <mergeCells count="6">
    <mergeCell ref="B1:C1"/>
    <mergeCell ref="E1:F1"/>
    <mergeCell ref="M2:Q2"/>
    <mergeCell ref="M3:M4"/>
    <mergeCell ref="N3:N4"/>
    <mergeCell ref="O3:Q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75720-5541-43B8-BC49-CA4B25C3D650}">
  <dimension ref="B1:F13"/>
  <sheetViews>
    <sheetView showGridLines="0" workbookViewId="0">
      <selection activeCell="B4" sqref="B4:F7"/>
    </sheetView>
  </sheetViews>
  <sheetFormatPr defaultRowHeight="14.4" x14ac:dyDescent="0.3"/>
  <cols>
    <col min="1" max="1" width="3.5546875" customWidth="1"/>
    <col min="2" max="2" width="13.88671875" customWidth="1"/>
    <col min="3" max="3" width="14.33203125" customWidth="1"/>
    <col min="4" max="4" width="15.5546875" customWidth="1"/>
    <col min="5" max="5" width="15.33203125" customWidth="1"/>
    <col min="6" max="6" width="19.21875" customWidth="1"/>
  </cols>
  <sheetData>
    <row r="1" spans="2:6" ht="15" thickBot="1" x14ac:dyDescent="0.35"/>
    <row r="2" spans="2:6" ht="19.8" customHeight="1" thickBot="1" x14ac:dyDescent="0.35">
      <c r="B2" s="68" t="s">
        <v>65</v>
      </c>
      <c r="C2" s="69"/>
      <c r="D2" s="69"/>
      <c r="E2" s="69"/>
      <c r="F2" s="70"/>
    </row>
    <row r="3" spans="2:6" ht="43.8" thickBot="1" x14ac:dyDescent="0.35">
      <c r="B3" s="59" t="s">
        <v>69</v>
      </c>
      <c r="C3" s="60" t="s">
        <v>70</v>
      </c>
      <c r="D3" s="60" t="s">
        <v>71</v>
      </c>
      <c r="E3" s="60" t="s">
        <v>72</v>
      </c>
      <c r="F3" s="61" t="s">
        <v>73</v>
      </c>
    </row>
    <row r="4" spans="2:6" ht="43.2" x14ac:dyDescent="0.3">
      <c r="B4" s="55" t="s">
        <v>74</v>
      </c>
      <c r="C4" s="47">
        <v>0.5</v>
      </c>
      <c r="D4" s="46" t="s">
        <v>75</v>
      </c>
      <c r="E4" s="46" t="s">
        <v>76</v>
      </c>
      <c r="F4" s="49" t="s">
        <v>77</v>
      </c>
    </row>
    <row r="5" spans="2:6" ht="57.6" x14ac:dyDescent="0.3">
      <c r="B5" s="56" t="s">
        <v>78</v>
      </c>
      <c r="C5" s="45">
        <v>1</v>
      </c>
      <c r="D5" s="44" t="s">
        <v>79</v>
      </c>
      <c r="E5" s="44" t="s">
        <v>80</v>
      </c>
      <c r="F5" s="51" t="s">
        <v>81</v>
      </c>
    </row>
    <row r="6" spans="2:6" ht="57.6" x14ac:dyDescent="0.3">
      <c r="B6" s="56" t="s">
        <v>63</v>
      </c>
      <c r="C6" s="45">
        <v>1.5</v>
      </c>
      <c r="D6" s="44" t="s">
        <v>82</v>
      </c>
      <c r="E6" s="44" t="s">
        <v>83</v>
      </c>
      <c r="F6" s="51" t="s">
        <v>84</v>
      </c>
    </row>
    <row r="7" spans="2:6" ht="43.8" thickBot="1" x14ac:dyDescent="0.35">
      <c r="B7" s="57" t="s">
        <v>85</v>
      </c>
      <c r="C7" s="58">
        <v>2</v>
      </c>
      <c r="D7" s="53" t="s">
        <v>86</v>
      </c>
      <c r="E7" s="53" t="s">
        <v>87</v>
      </c>
      <c r="F7" s="54" t="s">
        <v>88</v>
      </c>
    </row>
    <row r="8" spans="2:6" ht="15" thickBot="1" x14ac:dyDescent="0.35"/>
    <row r="9" spans="2:6" ht="21.6" customHeight="1" thickBot="1" x14ac:dyDescent="0.35">
      <c r="B9" s="68" t="s">
        <v>66</v>
      </c>
      <c r="C9" s="69"/>
      <c r="D9" s="69"/>
      <c r="E9" s="69"/>
      <c r="F9" s="70"/>
    </row>
    <row r="10" spans="2:6" ht="29.4" thickBot="1" x14ac:dyDescent="0.35">
      <c r="B10" s="59" t="s">
        <v>89</v>
      </c>
      <c r="C10" s="60" t="s">
        <v>71</v>
      </c>
      <c r="D10" s="60" t="s">
        <v>90</v>
      </c>
      <c r="E10" s="60" t="s">
        <v>72</v>
      </c>
      <c r="F10" s="61" t="s">
        <v>73</v>
      </c>
    </row>
    <row r="11" spans="2:6" ht="43.2" x14ac:dyDescent="0.3">
      <c r="B11" s="48" t="s">
        <v>91</v>
      </c>
      <c r="C11" s="46" t="s">
        <v>68</v>
      </c>
      <c r="D11" s="46" t="s">
        <v>92</v>
      </c>
      <c r="E11" s="46" t="s">
        <v>93</v>
      </c>
      <c r="F11" s="49" t="s">
        <v>94</v>
      </c>
    </row>
    <row r="12" spans="2:6" ht="28.8" x14ac:dyDescent="0.3">
      <c r="B12" s="50" t="s">
        <v>95</v>
      </c>
      <c r="C12" s="44" t="s">
        <v>96</v>
      </c>
      <c r="D12" s="44" t="s">
        <v>97</v>
      </c>
      <c r="E12" s="44" t="s">
        <v>98</v>
      </c>
      <c r="F12" s="51" t="s">
        <v>99</v>
      </c>
    </row>
    <row r="13" spans="2:6" ht="58.2" thickBot="1" x14ac:dyDescent="0.35">
      <c r="B13" s="52" t="s">
        <v>100</v>
      </c>
      <c r="C13" s="53" t="s">
        <v>101</v>
      </c>
      <c r="D13" s="53" t="s">
        <v>102</v>
      </c>
      <c r="E13" s="53" t="s">
        <v>103</v>
      </c>
      <c r="F13" s="54" t="s">
        <v>104</v>
      </c>
    </row>
  </sheetData>
  <mergeCells count="2">
    <mergeCell ref="B2:F2"/>
    <mergeCell ref="B9:F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Shafts e Afins</vt:lpstr>
      <vt:lpstr>Planilha2</vt:lpstr>
      <vt:lpstr>Ambientes</vt:lpstr>
      <vt:lpstr>Solos</vt:lpstr>
      <vt:lpstr>Coef. Solos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Igor Gabriel Santos Pinto</dc:creator>
  <dc:description/>
  <cp:lastModifiedBy>Igor Gabriel</cp:lastModifiedBy>
  <cp:revision>6</cp:revision>
  <dcterms:created xsi:type="dcterms:W3CDTF">2024-03-01T01:20:41Z</dcterms:created>
  <dcterms:modified xsi:type="dcterms:W3CDTF">2026-06-07T15:27:57Z</dcterms:modified>
  <dc:language>pt-BR</dc:language>
</cp:coreProperties>
</file>